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upjohn.sharepoint.com/sites/ElectricVehicles/Shared Documents/_EV Workforce Hub/"/>
    </mc:Choice>
  </mc:AlternateContent>
  <xr:revisionPtr revIDLastSave="0" documentId="8_{BCCC689D-4B4E-44E2-9F1F-3EA2A1E7E405}" xr6:coauthVersionLast="47" xr6:coauthVersionMax="47" xr10:uidLastSave="{00000000-0000-0000-0000-000000000000}"/>
  <bookViews>
    <workbookView xWindow="-28920" yWindow="-120" windowWidth="29040" windowHeight="15720" firstSheet="5" activeTab="5" xr2:uid="{FEA1430B-ED37-4E56-88EF-45EAEB071630}"/>
  </bookViews>
  <sheets>
    <sheet name="moodys-mi" sheetId="1" r:id="rId1"/>
    <sheet name="moodys-us" sheetId="2" r:id="rId2"/>
    <sheet name="dtmb-mi-ind-22-32" sheetId="4" r:id="rId3"/>
    <sheet name="qcew-emp" sheetId="3" r:id="rId4"/>
    <sheet name="bls_us_24_34" sheetId="7" r:id="rId5"/>
    <sheet name="analysis" sheetId="6" r:id="rId6"/>
    <sheet name="tables" sheetId="9" r:id="rId7"/>
    <sheet name="tables, dtmb only" sheetId="10" r:id="rId8"/>
  </sheets>
  <definedNames>
    <definedName name="_xlnm._FilterDatabase" localSheetId="5" hidden="1">analysis!$A$1:$X$40</definedName>
    <definedName name="_xlnm._FilterDatabase" localSheetId="4" hidden="1">bls_us_24_34!$A$1:$Q$39</definedName>
    <definedName name="_xlnm._FilterDatabase" localSheetId="0" hidden="1">'moodys-mi'!$A$1:$J$40</definedName>
    <definedName name="_xlnm._FilterDatabase" localSheetId="1" hidden="1">'moodys-us'!$A$1:$K$40</definedName>
    <definedName name="_xlnm._FilterDatabase" localSheetId="3" hidden="1">'qcew-emp'!$A$1:$H$39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10" l="1"/>
  <c r="B68" i="10"/>
  <c r="C67" i="10"/>
  <c r="B67" i="10"/>
  <c r="C66" i="10"/>
  <c r="B66" i="10"/>
  <c r="D65" i="10"/>
  <c r="E65" i="10" s="1"/>
  <c r="C65" i="10"/>
  <c r="B65" i="10"/>
  <c r="C64" i="10"/>
  <c r="B64" i="10"/>
  <c r="C63" i="10"/>
  <c r="B63" i="10"/>
  <c r="C62" i="10"/>
  <c r="B62" i="10"/>
  <c r="C61" i="10"/>
  <c r="B61" i="10"/>
  <c r="C60" i="10"/>
  <c r="B60" i="10"/>
  <c r="C59" i="10"/>
  <c r="B59" i="10"/>
  <c r="C52" i="10"/>
  <c r="B52" i="10"/>
  <c r="C51" i="10"/>
  <c r="B51" i="10"/>
  <c r="C50" i="10"/>
  <c r="B50" i="10"/>
  <c r="G46" i="10"/>
  <c r="D46" i="10"/>
  <c r="G45" i="10"/>
  <c r="D45" i="10"/>
  <c r="D68" i="10" s="1"/>
  <c r="E68" i="10" s="1"/>
  <c r="G44" i="10"/>
  <c r="D44" i="10"/>
  <c r="G43" i="10"/>
  <c r="D43" i="10"/>
  <c r="G42" i="10"/>
  <c r="D42" i="10"/>
  <c r="G41" i="10"/>
  <c r="D41" i="10"/>
  <c r="G40" i="10"/>
  <c r="D40" i="10"/>
  <c r="G39" i="10"/>
  <c r="D39" i="10"/>
  <c r="G38" i="10"/>
  <c r="D38" i="10"/>
  <c r="G37" i="10"/>
  <c r="D37" i="10"/>
  <c r="G36" i="10"/>
  <c r="D36" i="10"/>
  <c r="D66" i="10" s="1"/>
  <c r="G33" i="10"/>
  <c r="D33" i="10"/>
  <c r="G32" i="10"/>
  <c r="D32" i="10"/>
  <c r="G31" i="10"/>
  <c r="D31" i="10"/>
  <c r="G30" i="10"/>
  <c r="D30" i="10"/>
  <c r="G29" i="10"/>
  <c r="D29" i="10"/>
  <c r="G28" i="10"/>
  <c r="D28" i="10"/>
  <c r="D51" i="10" s="1"/>
  <c r="E51" i="10" s="1"/>
  <c r="G27" i="10"/>
  <c r="D27" i="10"/>
  <c r="G26" i="10"/>
  <c r="D26" i="10"/>
  <c r="G25" i="10"/>
  <c r="D25" i="10"/>
  <c r="G22" i="10"/>
  <c r="D22" i="10"/>
  <c r="G21" i="10"/>
  <c r="D21" i="10"/>
  <c r="G20" i="10"/>
  <c r="D20" i="10"/>
  <c r="G19" i="10"/>
  <c r="D19" i="10"/>
  <c r="G18" i="10"/>
  <c r="D18" i="10"/>
  <c r="G17" i="10"/>
  <c r="D17" i="10"/>
  <c r="D61" i="10" s="1"/>
  <c r="E61" i="10" s="1"/>
  <c r="G16" i="10"/>
  <c r="D16" i="10"/>
  <c r="G15" i="10"/>
  <c r="D15" i="10"/>
  <c r="G12" i="10"/>
  <c r="D12" i="10"/>
  <c r="G11" i="10"/>
  <c r="D11" i="10"/>
  <c r="G10" i="10"/>
  <c r="D10" i="10"/>
  <c r="G9" i="10"/>
  <c r="D9" i="10"/>
  <c r="G8" i="10"/>
  <c r="D8" i="10"/>
  <c r="G7" i="10"/>
  <c r="D7" i="10"/>
  <c r="G6" i="10"/>
  <c r="D6" i="10"/>
  <c r="G5" i="10"/>
  <c r="D5" i="10"/>
  <c r="G4" i="10"/>
  <c r="D4" i="10"/>
  <c r="G3" i="10"/>
  <c r="G50" i="10" s="1"/>
  <c r="D3" i="10"/>
  <c r="D50" i="10" s="1"/>
  <c r="E50" i="10" s="1"/>
  <c r="AH40" i="6"/>
  <c r="AH39" i="6"/>
  <c r="AH38" i="6"/>
  <c r="AH37" i="6"/>
  <c r="AH36" i="6"/>
  <c r="AH35" i="6"/>
  <c r="AH34" i="6"/>
  <c r="AH33" i="6"/>
  <c r="AH32" i="6"/>
  <c r="AH31" i="6"/>
  <c r="AH30" i="6"/>
  <c r="AH29" i="6"/>
  <c r="AH28" i="6"/>
  <c r="AH27" i="6"/>
  <c r="AH26" i="6"/>
  <c r="AH25" i="6"/>
  <c r="AH24" i="6"/>
  <c r="AH23" i="6"/>
  <c r="AH22" i="6"/>
  <c r="AH21" i="6"/>
  <c r="AH20" i="6"/>
  <c r="AH19" i="6"/>
  <c r="AH18" i="6"/>
  <c r="AH17" i="6"/>
  <c r="AH16" i="6"/>
  <c r="AH15" i="6"/>
  <c r="AH14" i="6"/>
  <c r="AH13" i="6"/>
  <c r="AH12" i="6"/>
  <c r="AH11" i="6"/>
  <c r="AH10" i="6"/>
  <c r="AH9" i="6"/>
  <c r="AH8" i="6"/>
  <c r="AH7" i="6"/>
  <c r="AH6" i="6"/>
  <c r="AH5" i="6"/>
  <c r="AH4" i="6"/>
  <c r="AH3" i="6"/>
  <c r="AH2" i="6"/>
  <c r="I10" i="4"/>
  <c r="I9" i="4"/>
  <c r="I8" i="4"/>
  <c r="I7" i="4"/>
  <c r="G66" i="9"/>
  <c r="C66" i="9"/>
  <c r="H66" i="9" s="1"/>
  <c r="B66" i="9"/>
  <c r="B65" i="9"/>
  <c r="B64" i="9"/>
  <c r="B63" i="9"/>
  <c r="B62" i="9"/>
  <c r="B61" i="9"/>
  <c r="B60" i="9"/>
  <c r="B59" i="9"/>
  <c r="G68" i="9"/>
  <c r="H68" i="9" s="1"/>
  <c r="C68" i="9"/>
  <c r="B68" i="9"/>
  <c r="G67" i="9"/>
  <c r="H67" i="9" s="1"/>
  <c r="C67" i="9"/>
  <c r="B67" i="9"/>
  <c r="G64" i="9"/>
  <c r="H64" i="9" s="1"/>
  <c r="G65" i="9"/>
  <c r="H65" i="9" s="1"/>
  <c r="C64" i="9"/>
  <c r="C65" i="9"/>
  <c r="G63" i="9"/>
  <c r="C63" i="9"/>
  <c r="G62" i="9"/>
  <c r="H62" i="9" s="1"/>
  <c r="C62" i="9"/>
  <c r="G61" i="9"/>
  <c r="C61" i="9"/>
  <c r="G60" i="9"/>
  <c r="C60" i="9"/>
  <c r="G59" i="9"/>
  <c r="H61" i="9"/>
  <c r="H63" i="9"/>
  <c r="C59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H59" i="9"/>
  <c r="H60" i="9"/>
  <c r="B51" i="9"/>
  <c r="C50" i="9"/>
  <c r="C55" i="9" s="1"/>
  <c r="B50" i="9"/>
  <c r="B54" i="9" s="1"/>
  <c r="G55" i="9"/>
  <c r="H55" i="9" s="1"/>
  <c r="G52" i="9"/>
  <c r="H52" i="9" s="1"/>
  <c r="C52" i="9"/>
  <c r="B52" i="9"/>
  <c r="G51" i="9"/>
  <c r="H51" i="9" s="1"/>
  <c r="C51" i="9"/>
  <c r="C54" i="9" s="1"/>
  <c r="G50" i="9"/>
  <c r="H50" i="9" s="1"/>
  <c r="Y42" i="9"/>
  <c r="J12" i="9"/>
  <c r="J15" i="9"/>
  <c r="J60" i="9" s="1"/>
  <c r="K60" i="9" s="1"/>
  <c r="J16" i="9"/>
  <c r="J17" i="9"/>
  <c r="J61" i="9" s="1"/>
  <c r="K61" i="9" s="1"/>
  <c r="J18" i="9"/>
  <c r="J19" i="9"/>
  <c r="J62" i="9" s="1"/>
  <c r="K62" i="9" s="1"/>
  <c r="J20" i="9"/>
  <c r="J21" i="9"/>
  <c r="J22" i="9"/>
  <c r="J25" i="9"/>
  <c r="J63" i="9" s="1"/>
  <c r="K63" i="9" s="1"/>
  <c r="J26" i="9"/>
  <c r="J27" i="9"/>
  <c r="J28" i="9"/>
  <c r="J64" i="9" s="1"/>
  <c r="K64" i="9" s="1"/>
  <c r="J29" i="9"/>
  <c r="J51" i="9" s="1"/>
  <c r="K51" i="9" s="1"/>
  <c r="J30" i="9"/>
  <c r="J31" i="9"/>
  <c r="J65" i="9" s="1"/>
  <c r="K65" i="9" s="1"/>
  <c r="J32" i="9"/>
  <c r="J33" i="9"/>
  <c r="J36" i="9"/>
  <c r="J66" i="9" s="1"/>
  <c r="K66" i="9" s="1"/>
  <c r="J37" i="9"/>
  <c r="J52" i="9" s="1"/>
  <c r="K52" i="9" s="1"/>
  <c r="J38" i="9"/>
  <c r="J39" i="9"/>
  <c r="J40" i="9"/>
  <c r="J41" i="9"/>
  <c r="J42" i="9"/>
  <c r="J43" i="9"/>
  <c r="J67" i="9" s="1"/>
  <c r="K67" i="9" s="1"/>
  <c r="J44" i="9"/>
  <c r="J45" i="9"/>
  <c r="J68" i="9" s="1"/>
  <c r="K68" i="9" s="1"/>
  <c r="J46" i="9"/>
  <c r="D12" i="9"/>
  <c r="D15" i="9"/>
  <c r="D60" i="9" s="1"/>
  <c r="E60" i="9" s="1"/>
  <c r="D16" i="9"/>
  <c r="D17" i="9"/>
  <c r="D61" i="9" s="1"/>
  <c r="E61" i="9" s="1"/>
  <c r="D18" i="9"/>
  <c r="D19" i="9"/>
  <c r="D62" i="9" s="1"/>
  <c r="E62" i="9" s="1"/>
  <c r="D20" i="9"/>
  <c r="D21" i="9"/>
  <c r="D22" i="9"/>
  <c r="D25" i="9"/>
  <c r="D63" i="9" s="1"/>
  <c r="E63" i="9" s="1"/>
  <c r="D26" i="9"/>
  <c r="D27" i="9"/>
  <c r="D28" i="9"/>
  <c r="D64" i="9" s="1"/>
  <c r="E64" i="9" s="1"/>
  <c r="D29" i="9"/>
  <c r="D51" i="9" s="1"/>
  <c r="E51" i="9" s="1"/>
  <c r="D30" i="9"/>
  <c r="D31" i="9"/>
  <c r="D65" i="9" s="1"/>
  <c r="E65" i="9" s="1"/>
  <c r="D32" i="9"/>
  <c r="D33" i="9"/>
  <c r="D36" i="9"/>
  <c r="D66" i="9" s="1"/>
  <c r="E66" i="9" s="1"/>
  <c r="D37" i="9"/>
  <c r="D38" i="9"/>
  <c r="D39" i="9"/>
  <c r="D40" i="9"/>
  <c r="D41" i="9"/>
  <c r="D42" i="9"/>
  <c r="D43" i="9"/>
  <c r="D67" i="9" s="1"/>
  <c r="E67" i="9" s="1"/>
  <c r="D44" i="9"/>
  <c r="D45" i="9"/>
  <c r="D68" i="9" s="1"/>
  <c r="E68" i="9" s="1"/>
  <c r="D46" i="9"/>
  <c r="J11" i="9"/>
  <c r="J10" i="9"/>
  <c r="J9" i="9"/>
  <c r="J8" i="9"/>
  <c r="J7" i="9"/>
  <c r="J6" i="9"/>
  <c r="J5" i="9"/>
  <c r="J4" i="9"/>
  <c r="J50" i="9" s="1"/>
  <c r="J3" i="9"/>
  <c r="J59" i="9" s="1"/>
  <c r="K59" i="9" s="1"/>
  <c r="D11" i="9"/>
  <c r="D10" i="9"/>
  <c r="D9" i="9"/>
  <c r="D8" i="9"/>
  <c r="D7" i="9"/>
  <c r="D6" i="9"/>
  <c r="D5" i="9"/>
  <c r="D4" i="9"/>
  <c r="D3" i="9"/>
  <c r="D59" i="9" s="1"/>
  <c r="E59" i="9" s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5" i="2"/>
  <c r="K36" i="2"/>
  <c r="K37" i="2"/>
  <c r="K38" i="2"/>
  <c r="K39" i="2"/>
  <c r="K40" i="2"/>
  <c r="K34" i="2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E66" i="10" l="1"/>
  <c r="G67" i="10"/>
  <c r="H67" i="10" s="1"/>
  <c r="D62" i="10"/>
  <c r="E62" i="10" s="1"/>
  <c r="D64" i="10"/>
  <c r="E64" i="10" s="1"/>
  <c r="B55" i="10"/>
  <c r="G60" i="10"/>
  <c r="H60" i="10" s="1"/>
  <c r="G62" i="10"/>
  <c r="H62" i="10" s="1"/>
  <c r="G51" i="10"/>
  <c r="H51" i="10" s="1"/>
  <c r="C55" i="10"/>
  <c r="D67" i="10"/>
  <c r="E67" i="10" s="1"/>
  <c r="D60" i="10"/>
  <c r="E60" i="10" s="1"/>
  <c r="D59" i="10"/>
  <c r="E59" i="10" s="1"/>
  <c r="G63" i="10"/>
  <c r="H63" i="10" s="1"/>
  <c r="G66" i="10"/>
  <c r="H66" i="10" s="1"/>
  <c r="G59" i="10"/>
  <c r="H59" i="10" s="1"/>
  <c r="G65" i="10"/>
  <c r="H65" i="10" s="1"/>
  <c r="D63" i="10"/>
  <c r="E63" i="10" s="1"/>
  <c r="G61" i="10"/>
  <c r="H61" i="10" s="1"/>
  <c r="G68" i="10"/>
  <c r="H68" i="10" s="1"/>
  <c r="G52" i="10"/>
  <c r="H52" i="10" s="1"/>
  <c r="G64" i="10"/>
  <c r="H64" i="10" s="1"/>
  <c r="B54" i="10"/>
  <c r="H50" i="10"/>
  <c r="C54" i="10"/>
  <c r="D54" i="10"/>
  <c r="E54" i="10" s="1"/>
  <c r="D52" i="10"/>
  <c r="E52" i="10" s="1"/>
  <c r="D55" i="10"/>
  <c r="E55" i="10" s="1"/>
  <c r="J55" i="9"/>
  <c r="K55" i="9" s="1"/>
  <c r="K50" i="9"/>
  <c r="J54" i="9"/>
  <c r="K54" i="9" s="1"/>
  <c r="G54" i="9"/>
  <c r="H54" i="9" s="1"/>
  <c r="D50" i="9"/>
  <c r="B55" i="9"/>
  <c r="D52" i="9"/>
  <c r="E52" i="9" s="1"/>
  <c r="G55" i="10" l="1"/>
  <c r="H55" i="10" s="1"/>
  <c r="G54" i="10"/>
  <c r="H54" i="10"/>
  <c r="D54" i="9"/>
  <c r="E54" i="9" s="1"/>
  <c r="E50" i="9"/>
  <c r="D55" i="9"/>
  <c r="E55" i="9" s="1"/>
</calcChain>
</file>

<file path=xl/sharedStrings.xml><?xml version="1.0" encoding="utf-8"?>
<sst xmlns="http://schemas.openxmlformats.org/spreadsheetml/2006/main" count="3164" uniqueCount="514">
  <si>
    <t>naics_code</t>
  </si>
  <si>
    <t>2024_employment</t>
  </si>
  <si>
    <t>2024_gdp</t>
  </si>
  <si>
    <t>2024_wages</t>
  </si>
  <si>
    <t>2030_employment</t>
  </si>
  <si>
    <t>2030_gdp</t>
  </si>
  <si>
    <t>2030_wages</t>
  </si>
  <si>
    <t>pct_change_2024_2030_employment</t>
  </si>
  <si>
    <t>pct_change_2024_2030_gdp</t>
  </si>
  <si>
    <t>pct_change_2024_2030_wages</t>
  </si>
  <si>
    <t>moodys_mi_level_change_emp_24_30</t>
  </si>
  <si>
    <t>moodys_us_level_change_emp_24_30</t>
  </si>
  <si>
    <t>Long-Term Industry Employment Projections</t>
  </si>
  <si>
    <t>2022 to 2032</t>
  </si>
  <si>
    <t>Michigan, Statewide</t>
  </si>
  <si>
    <t>Michigan Department of Technology, Management and Budget, Michigan Center for Data and Analytics</t>
  </si>
  <si>
    <t>Employment</t>
  </si>
  <si>
    <t>Employment Change</t>
  </si>
  <si>
    <t>NAICS Code</t>
  </si>
  <si>
    <t>NAICS Title</t>
  </si>
  <si>
    <t>Base</t>
  </si>
  <si>
    <t>Projected</t>
  </si>
  <si>
    <t>10-Year Numeric</t>
  </si>
  <si>
    <t>10-Year Percent</t>
  </si>
  <si>
    <t>Annual Rate</t>
  </si>
  <si>
    <t>000000</t>
  </si>
  <si>
    <t>Total All Industries</t>
  </si>
  <si>
    <t>000671</t>
  </si>
  <si>
    <t>Total Self Employed</t>
  </si>
  <si>
    <t>101000</t>
  </si>
  <si>
    <t>Goods Producing</t>
  </si>
  <si>
    <t>101100</t>
  </si>
  <si>
    <t>Natural Resources and Mining</t>
  </si>
  <si>
    <t>110000</t>
  </si>
  <si>
    <t>Agriculture, Forestry, Fishing and Hunting</t>
  </si>
  <si>
    <t>111000</t>
  </si>
  <si>
    <t>Crop Production</t>
  </si>
  <si>
    <t>112000</t>
  </si>
  <si>
    <t>Animal Production</t>
  </si>
  <si>
    <t>113000</t>
  </si>
  <si>
    <t>Forestry and Logging</t>
  </si>
  <si>
    <t>114000</t>
  </si>
  <si>
    <t>Fishing, Hunting and Trapping</t>
  </si>
  <si>
    <t>115000</t>
  </si>
  <si>
    <t>Support Activities for Agriculture and Forestry</t>
  </si>
  <si>
    <t>210000</t>
  </si>
  <si>
    <t>Mining</t>
  </si>
  <si>
    <t>211000</t>
  </si>
  <si>
    <t>Oil and Gas Extraction</t>
  </si>
  <si>
    <t>212000</t>
  </si>
  <si>
    <t>Mining (except Oil and Gas)</t>
  </si>
  <si>
    <t>213000</t>
  </si>
  <si>
    <t>Support Activities for Mining</t>
  </si>
  <si>
    <t>101200</t>
  </si>
  <si>
    <t>Construction</t>
  </si>
  <si>
    <t>230000</t>
  </si>
  <si>
    <t>236000</t>
  </si>
  <si>
    <t>Construction of Buildings</t>
  </si>
  <si>
    <t>237000</t>
  </si>
  <si>
    <t>Heavy and Civil Engineering Construction</t>
  </si>
  <si>
    <t>237100</t>
  </si>
  <si>
    <t>Utility System Construction</t>
  </si>
  <si>
    <t>237200</t>
  </si>
  <si>
    <t>Land Subdivision</t>
  </si>
  <si>
    <t>237300</t>
  </si>
  <si>
    <t>Highway, Street, and Bridge Construction</t>
  </si>
  <si>
    <t>237900</t>
  </si>
  <si>
    <t>Other Heavy and Civil Engineering Construction</t>
  </si>
  <si>
    <t>238000</t>
  </si>
  <si>
    <t>Specialty Trade Contractors</t>
  </si>
  <si>
    <t>101300</t>
  </si>
  <si>
    <t>Manufacturing</t>
  </si>
  <si>
    <t>310000</t>
  </si>
  <si>
    <t>311000</t>
  </si>
  <si>
    <t>Food Manufacturing</t>
  </si>
  <si>
    <t>312000</t>
  </si>
  <si>
    <t>Beverage and Tobacco Product Manufacturing</t>
  </si>
  <si>
    <t>313000</t>
  </si>
  <si>
    <t>Textile Mills</t>
  </si>
  <si>
    <t>314000</t>
  </si>
  <si>
    <t>Textile Product Mills</t>
  </si>
  <si>
    <t>315000</t>
  </si>
  <si>
    <t>Apparel Manufacturing</t>
  </si>
  <si>
    <t>316000</t>
  </si>
  <si>
    <t>Leather and Allied Product Manufacturing</t>
  </si>
  <si>
    <t>321000</t>
  </si>
  <si>
    <t>Wood Product Manufacturing</t>
  </si>
  <si>
    <t>322000</t>
  </si>
  <si>
    <t>Paper Manufacturing</t>
  </si>
  <si>
    <t>323000</t>
  </si>
  <si>
    <t>Printing and Related Support Activities</t>
  </si>
  <si>
    <t>324000</t>
  </si>
  <si>
    <t>Petroleum and Coal Products Manufacturing</t>
  </si>
  <si>
    <t>325000</t>
  </si>
  <si>
    <t>Chemical Manufacturing</t>
  </si>
  <si>
    <t>326000</t>
  </si>
  <si>
    <t>Plastics and Rubber Products Manufacturing</t>
  </si>
  <si>
    <t>327000</t>
  </si>
  <si>
    <t>Nonmetallic Mineral Product Manufacturing</t>
  </si>
  <si>
    <t>331000</t>
  </si>
  <si>
    <t>Primary Metal Manufacturing</t>
  </si>
  <si>
    <t>332000</t>
  </si>
  <si>
    <t>Fabricated Metal Product Manufacturing</t>
  </si>
  <si>
    <t>333000</t>
  </si>
  <si>
    <t>Machinery Manufacturing</t>
  </si>
  <si>
    <t>334000</t>
  </si>
  <si>
    <t>Computer and Electronic Product Manufacturing</t>
  </si>
  <si>
    <t>335000</t>
  </si>
  <si>
    <t>Electrical Equipment, Appliance, and Component Manufacturing</t>
  </si>
  <si>
    <t>336000</t>
  </si>
  <si>
    <t>Transportation Equipment Manufacturing</t>
  </si>
  <si>
    <t>337000</t>
  </si>
  <si>
    <t>Furniture and Related Product Manufacturing</t>
  </si>
  <si>
    <t>339000</t>
  </si>
  <si>
    <t>Miscellaneous Manufacturing</t>
  </si>
  <si>
    <t>102000</t>
  </si>
  <si>
    <t>Services Providing</t>
  </si>
  <si>
    <t>102100</t>
  </si>
  <si>
    <t>Trade, Transportation, and Utilities</t>
  </si>
  <si>
    <t>420000</t>
  </si>
  <si>
    <t>Wholesale Trade</t>
  </si>
  <si>
    <t>Merchant Wholesalers, Durable Goods</t>
  </si>
  <si>
    <t>424000</t>
  </si>
  <si>
    <t>Merchant Wholesalers, Nondurable Goods</t>
  </si>
  <si>
    <t>425000</t>
  </si>
  <si>
    <t>Wholesale Electronic Markets and Agents and Brokers</t>
  </si>
  <si>
    <t>440000</t>
  </si>
  <si>
    <t>Retail Trade</t>
  </si>
  <si>
    <t>441000</t>
  </si>
  <si>
    <t>Motor Vehicle and Parts Dealers</t>
  </si>
  <si>
    <t>444000</t>
  </si>
  <si>
    <t>Building Material and Garden Equipment and Supplies Dealers</t>
  </si>
  <si>
    <t>445000</t>
  </si>
  <si>
    <t>Food and Beverage Retailers</t>
  </si>
  <si>
    <t>Furniture, Home Furnishings, Electronics, and Appliance Retailers</t>
  </si>
  <si>
    <t>General Merchandise Retailers</t>
  </si>
  <si>
    <t>Health and Personal Care Retailers</t>
  </si>
  <si>
    <t>Gasoline Stations and Fuel Dealers</t>
  </si>
  <si>
    <t>Clothing, Clothing Accessories, Shoe, and Jewelry Retailers</t>
  </si>
  <si>
    <t>Sporting Goods, Hobby, Musical Instrument, Book, and Miscellaneous Retailers</t>
  </si>
  <si>
    <t>480000</t>
  </si>
  <si>
    <t>Transportation and Warehousing</t>
  </si>
  <si>
    <t>481000</t>
  </si>
  <si>
    <t>Air Transportation</t>
  </si>
  <si>
    <t>482000</t>
  </si>
  <si>
    <t>Rail Transportation</t>
  </si>
  <si>
    <t>483000</t>
  </si>
  <si>
    <t>Water Transportation</t>
  </si>
  <si>
    <t>484000</t>
  </si>
  <si>
    <t>Truck Transportation</t>
  </si>
  <si>
    <t>485000</t>
  </si>
  <si>
    <t>Transit and Ground Passenger Transportation</t>
  </si>
  <si>
    <t>486000</t>
  </si>
  <si>
    <t>Pipeline Transportation</t>
  </si>
  <si>
    <t>487000</t>
  </si>
  <si>
    <t>Scenic and Sightseeing Transportation</t>
  </si>
  <si>
    <t>488000</t>
  </si>
  <si>
    <t>Support Activities for Transportation</t>
  </si>
  <si>
    <t>492000</t>
  </si>
  <si>
    <t>Couriers and Messengers</t>
  </si>
  <si>
    <t>493000</t>
  </si>
  <si>
    <t>Warehousing and Storage</t>
  </si>
  <si>
    <t>220000</t>
  </si>
  <si>
    <t>Utilities</t>
  </si>
  <si>
    <t>221000</t>
  </si>
  <si>
    <t>102200</t>
  </si>
  <si>
    <t>Information</t>
  </si>
  <si>
    <t>510000</t>
  </si>
  <si>
    <t>512000</t>
  </si>
  <si>
    <t>Motion Picture and Sound Recording Industries</t>
  </si>
  <si>
    <t>Publishing Industries</t>
  </si>
  <si>
    <t>Broadcasting and Content Providers</t>
  </si>
  <si>
    <t>517000</t>
  </si>
  <si>
    <t>Telecommunications</t>
  </si>
  <si>
    <t>518000</t>
  </si>
  <si>
    <t>Data Processing, Hosting and Related Services</t>
  </si>
  <si>
    <t>519000</t>
  </si>
  <si>
    <t>Web Search Portals, Libraries, Archives, and Other Information Services</t>
  </si>
  <si>
    <t>102300</t>
  </si>
  <si>
    <t>Financial Activities</t>
  </si>
  <si>
    <t>520000</t>
  </si>
  <si>
    <t>Finance and Insurance</t>
  </si>
  <si>
    <t>521000</t>
  </si>
  <si>
    <t>Monetary Authorities  Central Bank</t>
  </si>
  <si>
    <t>522000</t>
  </si>
  <si>
    <t>Credit Intermediation and Related Activities</t>
  </si>
  <si>
    <t>523000</t>
  </si>
  <si>
    <t>Securities, Commodity Contracts, and Other Financial Investments and Related Activities</t>
  </si>
  <si>
    <t>524000</t>
  </si>
  <si>
    <t>Insurance Carriers and Related Activities</t>
  </si>
  <si>
    <t>525000</t>
  </si>
  <si>
    <t>Funds, Trusts, and Other Financial Vehicles</t>
  </si>
  <si>
    <t>530000</t>
  </si>
  <si>
    <t>Real Estate and Rental and Leasing</t>
  </si>
  <si>
    <t>531000</t>
  </si>
  <si>
    <t>Real Estate</t>
  </si>
  <si>
    <t>532000</t>
  </si>
  <si>
    <t>Rental and Leasing Services</t>
  </si>
  <si>
    <t>533000</t>
  </si>
  <si>
    <t>Lessors of Nonfinancial Intangible Assets (except Copyrighted Works)</t>
  </si>
  <si>
    <t>102400</t>
  </si>
  <si>
    <t>Professional and Business Services</t>
  </si>
  <si>
    <t>540000</t>
  </si>
  <si>
    <t>Professional, Scientific, and Technical Services</t>
  </si>
  <si>
    <t>541000</t>
  </si>
  <si>
    <t>541100</t>
  </si>
  <si>
    <t>Legal Services</t>
  </si>
  <si>
    <t>541200</t>
  </si>
  <si>
    <t>Accounting, Tax Preparation, Bookkeeping, and Payroll Services</t>
  </si>
  <si>
    <t>541300</t>
  </si>
  <si>
    <t>Architectural, Engineering, and Related Services</t>
  </si>
  <si>
    <t>541400</t>
  </si>
  <si>
    <t>Specialized Design Services</t>
  </si>
  <si>
    <t>541500</t>
  </si>
  <si>
    <t>Computer Systems Design and Related Services</t>
  </si>
  <si>
    <t>541600</t>
  </si>
  <si>
    <t>Management, Scientific, and Technical Consulting Services</t>
  </si>
  <si>
    <t>541700</t>
  </si>
  <si>
    <t>Scientific Research and Development Services</t>
  </si>
  <si>
    <t>541800</t>
  </si>
  <si>
    <t>Advertising, Public Relations, and Related Services</t>
  </si>
  <si>
    <t>541900</t>
  </si>
  <si>
    <t>Other Professional, Scientific, and Technical Services</t>
  </si>
  <si>
    <t>550000</t>
  </si>
  <si>
    <t>Management of Companies and Enterprises</t>
  </si>
  <si>
    <t>551000</t>
  </si>
  <si>
    <t>560000</t>
  </si>
  <si>
    <t>Administrative and Support and Waste Management and Remediation Services</t>
  </si>
  <si>
    <t>561000</t>
  </si>
  <si>
    <t>Administrative and Support Services</t>
  </si>
  <si>
    <t>562000</t>
  </si>
  <si>
    <t>Waste Management and Remediation Service</t>
  </si>
  <si>
    <t>102500</t>
  </si>
  <si>
    <t>Education and Health Services</t>
  </si>
  <si>
    <t>610000</t>
  </si>
  <si>
    <t>Educational Services</t>
  </si>
  <si>
    <t>611000</t>
  </si>
  <si>
    <t>611100</t>
  </si>
  <si>
    <t>Elementary and Secondary Schools</t>
  </si>
  <si>
    <t>611200</t>
  </si>
  <si>
    <t>Junior Colleges</t>
  </si>
  <si>
    <t>611300</t>
  </si>
  <si>
    <t>Colleges, Universities, and Professional Schools</t>
  </si>
  <si>
    <t>611400</t>
  </si>
  <si>
    <t>Business Schools and Computer and Management Training</t>
  </si>
  <si>
    <t>611500</t>
  </si>
  <si>
    <t>Technical and Trade Schools</t>
  </si>
  <si>
    <t>611600</t>
  </si>
  <si>
    <t>Other Schools and Instruction</t>
  </si>
  <si>
    <t>611700</t>
  </si>
  <si>
    <t>Educational Support Services</t>
  </si>
  <si>
    <t>620000</t>
  </si>
  <si>
    <t>Health Care and Social Assistance</t>
  </si>
  <si>
    <t>621000</t>
  </si>
  <si>
    <t>Ambulatory Health Care Services</t>
  </si>
  <si>
    <t>622000</t>
  </si>
  <si>
    <t>Hospitals</t>
  </si>
  <si>
    <t>623000</t>
  </si>
  <si>
    <t>Nursing and Residential Care Facilities</t>
  </si>
  <si>
    <t>624000</t>
  </si>
  <si>
    <t>Social Assistance</t>
  </si>
  <si>
    <t>102600</t>
  </si>
  <si>
    <t>Leisure and Hospitality</t>
  </si>
  <si>
    <t>710000</t>
  </si>
  <si>
    <t>Arts, Entertainment, and Recreation</t>
  </si>
  <si>
    <t>711000</t>
  </si>
  <si>
    <t>Performing Arts, Spectator Sports, and Related Industries</t>
  </si>
  <si>
    <t>712000</t>
  </si>
  <si>
    <t>Museums, Historical Sites, and Similar Institution</t>
  </si>
  <si>
    <t>713000</t>
  </si>
  <si>
    <t>Amusement, Gambling, and Recreation Industries</t>
  </si>
  <si>
    <t>720000</t>
  </si>
  <si>
    <t>Accommodation and Food Services</t>
  </si>
  <si>
    <t>721000</t>
  </si>
  <si>
    <t>Accommodation, including Hotels and Motels</t>
  </si>
  <si>
    <t>722000</t>
  </si>
  <si>
    <t>Food Services and Drinking Places</t>
  </si>
  <si>
    <t>102700</t>
  </si>
  <si>
    <t>Other Services (except Government)</t>
  </si>
  <si>
    <t>810000</t>
  </si>
  <si>
    <t>811000</t>
  </si>
  <si>
    <t>Repair and Maintenance</t>
  </si>
  <si>
    <t>812000</t>
  </si>
  <si>
    <t>Personal and Laundry Services</t>
  </si>
  <si>
    <t>813000</t>
  </si>
  <si>
    <t>Religious, Grantmaking, Civic, Professional, and Similar Organizations</t>
  </si>
  <si>
    <t>814000</t>
  </si>
  <si>
    <t>Private Households</t>
  </si>
  <si>
    <t>102800</t>
  </si>
  <si>
    <t>Government</t>
  </si>
  <si>
    <t>999100</t>
  </si>
  <si>
    <t>Federal Government, Excluding Post Office</t>
  </si>
  <si>
    <t>491100</t>
  </si>
  <si>
    <t>Postal Service</t>
  </si>
  <si>
    <t>999200</t>
  </si>
  <si>
    <t>State Government, Excluding Education and Hospitals</t>
  </si>
  <si>
    <t>999300</t>
  </si>
  <si>
    <t>Local Government, Excluding Education and Hospitals</t>
  </si>
  <si>
    <t>Source:</t>
  </si>
  <si>
    <t>Michigan Department of Technology, Management and Budget, Michigan Center for Data and Analytics.</t>
  </si>
  <si>
    <t>Notes:</t>
  </si>
  <si>
    <t>Employment is rounded to the nearest ten. Employment change values and percents are based on rounded data.</t>
  </si>
  <si>
    <t>* Non-disclosure of data due to data quality or confidentiality.</t>
  </si>
  <si>
    <t>orig_sort</t>
  </si>
  <si>
    <t>industry_name</t>
  </si>
  <si>
    <t>segment_id</t>
  </si>
  <si>
    <t>segment_name</t>
  </si>
  <si>
    <t>stage</t>
  </si>
  <si>
    <t>employment_qcew_raw_2018</t>
  </si>
  <si>
    <t>employment_qcew_raw_2024</t>
  </si>
  <si>
    <t>year</t>
  </si>
  <si>
    <t>employment_qcew_raw</t>
  </si>
  <si>
    <t>Resin, Synthetic Rubber, and Artificial and Synthetic Fibers and Filaments Manufacturing</t>
  </si>
  <si>
    <t>Materials &amp; Processing - Non-Metals</t>
  </si>
  <si>
    <t>Upstream</t>
  </si>
  <si>
    <t>Paint, Coating, and Adhesive Manufacturing</t>
  </si>
  <si>
    <t>Materials &amp; Processing - Coatings &amp; Surface Treatments</t>
  </si>
  <si>
    <t>Plastics Product Manufacturing</t>
  </si>
  <si>
    <t>Rubber Product Manufacturing</t>
  </si>
  <si>
    <t>Glass and Glass Product Manufacturing</t>
  </si>
  <si>
    <t>Iron and Steel Mills and Ferroalloy Manufacturing</t>
  </si>
  <si>
    <t>Materials &amp; Processing - Metals</t>
  </si>
  <si>
    <t>Steel Product Manufacturing from Purchased Steel</t>
  </si>
  <si>
    <t>Alumina and Aluminum Production and Processing</t>
  </si>
  <si>
    <t>Nonferrous Metal (except Aluminum) Production and Processing</t>
  </si>
  <si>
    <t>Foundries</t>
  </si>
  <si>
    <t>Forging &amp; Foundries</t>
  </si>
  <si>
    <t>Forging and Stamping</t>
  </si>
  <si>
    <t>Spring and Wire Product Manufacturing</t>
  </si>
  <si>
    <t>Parts &amp; Machining</t>
  </si>
  <si>
    <t>Machine Shops; Turned Product; and Screw, Nut, and Bolt Manufacturing</t>
  </si>
  <si>
    <t>Coating, Engraving, Heat Treating, and Allied Activities</t>
  </si>
  <si>
    <t>Other Fabricated Metal Product Manufacturing</t>
  </si>
  <si>
    <t>Metalworking Machinery Manufacturing</t>
  </si>
  <si>
    <t>Equipment Manufacturing</t>
  </si>
  <si>
    <t>Engine, Turbine, and Power Transmission Equipment Manufacturing</t>
  </si>
  <si>
    <t>Component Systems</t>
  </si>
  <si>
    <t>Other General Purpose Machinery Manufacturing</t>
  </si>
  <si>
    <t>Semiconductor and Other Electronic Component Manufacturing</t>
  </si>
  <si>
    <t>Navigational, Measuring, Electromedical, and Control Instruments Manufacturing</t>
  </si>
  <si>
    <t>Other Electrical Equipment and Component Manufacturing</t>
  </si>
  <si>
    <t>Motor Vehicle Manufacturing</t>
  </si>
  <si>
    <t>Core Automotive</t>
  </si>
  <si>
    <t>OEM</t>
  </si>
  <si>
    <t>Motor Vehicle Body and Trailer Manufacturing</t>
  </si>
  <si>
    <t>Motor Vehicle Parts Manufacturing</t>
  </si>
  <si>
    <t>Motor Vehicle and Motor Vehicle Parts and Supplies Merchant Wholesalers</t>
  </si>
  <si>
    <t>Motor Vehicle Parts, Materials, &amp; Products Sales</t>
  </si>
  <si>
    <t>Downstream</t>
  </si>
  <si>
    <t>Metal and Mineral (except Petroleum) Merchant Wholesalers</t>
  </si>
  <si>
    <t>Machinery, Equipment, and Supplies Merchant Wholesalers</t>
  </si>
  <si>
    <t>Miscellaneous Durable Goods Merchant Wholesalers</t>
  </si>
  <si>
    <t>Petroleum and Petroleum Products Merchant Wholesalers</t>
  </si>
  <si>
    <t>Automobile Dealers</t>
  </si>
  <si>
    <t>Dealers, Maintenance, &amp; Repair</t>
  </si>
  <si>
    <t>Automotive Parts, Accessories, and Tire Stores</t>
  </si>
  <si>
    <t>Gasoline Stations</t>
  </si>
  <si>
    <t>General Freight Trucking</t>
  </si>
  <si>
    <t>Logistics</t>
  </si>
  <si>
    <t>Specialized Freight Trucking</t>
  </si>
  <si>
    <t>Engineering &amp; Design</t>
  </si>
  <si>
    <t>Automotive Repair and Maintenance</t>
  </si>
  <si>
    <t>Occupation Title</t>
  </si>
  <si>
    <t>Occupation Code</t>
  </si>
  <si>
    <t>Occupation Type</t>
  </si>
  <si>
    <t>2024 Employment</t>
  </si>
  <si>
    <t>2024 Percent of Industry</t>
  </si>
  <si>
    <t>2024 Percent of Occupation</t>
  </si>
  <si>
    <t>Projected 2034 Employment</t>
  </si>
  <si>
    <t>Projected 2034 Percent of Industry</t>
  </si>
  <si>
    <t>Projected 2034 Percent of Occupation</t>
  </si>
  <si>
    <t>Employment Change, 2024-2034</t>
  </si>
  <si>
    <t>Employment Percent Change, 2024-2034</t>
  </si>
  <si>
    <t>Occupation Sort</t>
  </si>
  <si>
    <t>Display Level</t>
  </si>
  <si>
    <t>source_url</t>
  </si>
  <si>
    <t>annual_employment_rate_change</t>
  </si>
  <si>
    <t>six_year_employment_rate_change</t>
  </si>
  <si>
    <t>Total, all occupations</t>
  </si>
  <si>
    <t>00-0000</t>
  </si>
  <si>
    <t>Summary</t>
  </si>
  <si>
    <t>https://data.bls.gov/projections/nationalMatrix?queryParams=3250A1&amp;ioType=i</t>
  </si>
  <si>
    <t>https://data.bls.gov/projections/nationalMatrix?queryParams=3250A2&amp;ioType=i</t>
  </si>
  <si>
    <t>https://data.bls.gov/projections/nationalMatrix?queryParams=326100&amp;ioType=i</t>
  </si>
  <si>
    <t>https://data.bls.gov/projections/nationalMatrix?queryParams=326200&amp;ioType=i</t>
  </si>
  <si>
    <t>https://data.bls.gov/projections/nationalMatrix?queryParams=327000&amp;ioType=i</t>
  </si>
  <si>
    <t>https://data.bls.gov/projections/nationalMatrix?queryParams=331100&amp;ioType=i</t>
  </si>
  <si>
    <t>https://data.bls.gov/projections/nationalMatrix?queryParams=331200&amp;ioType=i</t>
  </si>
  <si>
    <t>https://data.bls.gov/projections/nationalMatrix?queryParams=331300&amp;ioType=i</t>
  </si>
  <si>
    <t>https://data.bls.gov/projections/nationalMatrix?queryParams=331400&amp;ioType=i</t>
  </si>
  <si>
    <t>https://data.bls.gov/projections/nationalMatrix?queryParams=331500&amp;ioType=i</t>
  </si>
  <si>
    <t>https://data.bls.gov/projections/nationalMatrix?queryParams=3320A1&amp;ioType=i</t>
  </si>
  <si>
    <t>https://data.bls.gov/projections/nationalMatrix?queryParams=332700&amp;ioType=i</t>
  </si>
  <si>
    <t>https://data.bls.gov/projections/nationalMatrix?queryParams=332800&amp;ioType=i</t>
  </si>
  <si>
    <t>https://data.bls.gov/projections/nationalMatrix?queryParams=333500&amp;ioType=i</t>
  </si>
  <si>
    <t>https://data.bls.gov/projections/nationalMatrix?queryParams=333600&amp;ioType=i</t>
  </si>
  <si>
    <t>https://data.bls.gov/projections/nationalMatrix?queryParams=3330A1&amp;ioType=i</t>
  </si>
  <si>
    <t>https://data.bls.gov/projections/nationalMatrix?queryParams=334400&amp;ioType=i</t>
  </si>
  <si>
    <t>https://data.bls.gov/projections/nationalMatrix?queryParams=334500&amp;ioType=i</t>
  </si>
  <si>
    <t>https://data.bls.gov/projections/nationalMatrix?queryParams=335900&amp;ioType=i</t>
  </si>
  <si>
    <t>https://data.bls.gov/projections/nationalMatrix?queryParams=336100&amp;ioType=i</t>
  </si>
  <si>
    <t>https://data.bls.gov/projections/nationalMatrix?queryParams=336200&amp;ioType=i</t>
  </si>
  <si>
    <t>https://data.bls.gov/projections/nationalMatrix?queryParams=336300&amp;ioType=i</t>
  </si>
  <si>
    <t>https://data.bls.gov/projections/nationalMatrix?queryParams=423100&amp;ioType=i</t>
  </si>
  <si>
    <t>https://data.bls.gov/projections/nationalMatrix?queryParams=4230A1&amp;ioType=i</t>
  </si>
  <si>
    <t>https://data.bls.gov/projections/nationalMatrix?queryParams=423800&amp;ioType=i</t>
  </si>
  <si>
    <t>https://data.bls.gov/projections/nationalMatrix?queryParams=4240A3&amp;ioType=i</t>
  </si>
  <si>
    <t>https://data.bls.gov/projections/nationalMatrix?queryParams=441100&amp;ioType=i</t>
  </si>
  <si>
    <t>https://data.bls.gov/projections/nationalMatrix?queryParams=441300&amp;ioType=i</t>
  </si>
  <si>
    <t>https://data.bls.gov/projections/nationalMatrix?queryParams=457100&amp;ioType=i</t>
  </si>
  <si>
    <t>https://data.bls.gov/projections/nationalMatrix?queryParams=484000&amp;ioType=i</t>
  </si>
  <si>
    <t>https://data.bls.gov/projections/nationalMatrix?queryParams=541300&amp;ioType=i</t>
  </si>
  <si>
    <t>https://data.bls.gov/projections/nationalMatrix?queryParams=541400&amp;ioType=i</t>
  </si>
  <si>
    <t>https://data.bls.gov/projections/nationalMatrix?queryParams=541700&amp;ioType=i</t>
  </si>
  <si>
    <t>https://data.bls.gov/projections/nationalMatrix?queryParams=811100&amp;ioType=i</t>
  </si>
  <si>
    <t>employment_mi_qcew_raw_2024</t>
  </si>
  <si>
    <t>mi_qcew_2018_24_six_year_employment_percent_change</t>
  </si>
  <si>
    <t>moodys_mi_pct_change_2024_2030_employment</t>
  </si>
  <si>
    <t>moodys_mi_pct_change_2024_2030_gdp</t>
  </si>
  <si>
    <t>moodys_us_pct_change_2024_2030_employment</t>
  </si>
  <si>
    <t>moodys_us_pct_change_2024_2030_gdp</t>
  </si>
  <si>
    <t>source_mi_dtmb_ind_proj</t>
  </si>
  <si>
    <t>mi_dtmb_ind_proj_22_32_10yr_percent_change</t>
  </si>
  <si>
    <t>mi_dtmb_ind_proj_22_32_annual_rate</t>
  </si>
  <si>
    <t>mi_dtmb_ind_proj_22_32_six_year_rate</t>
  </si>
  <si>
    <t>bls_source_url</t>
  </si>
  <si>
    <t>bls_us_Employment Percent Change, 2024-2034</t>
  </si>
  <si>
    <t>bls_us_annual_employment_rate_change</t>
  </si>
  <si>
    <t>bls_us_six_year_employment_rate_change</t>
  </si>
  <si>
    <t>NAICS-Title</t>
  </si>
  <si>
    <t>Check dtmb six-year</t>
  </si>
  <si>
    <t>325000-Chemical Manufacturing</t>
  </si>
  <si>
    <t>3252- Resin, Synthetic Rubber, and Artificial and Synthetic Fibers and Filaments Manufacturing</t>
  </si>
  <si>
    <t>3255- Paint, Coating, and Adhesive Manufacturing</t>
  </si>
  <si>
    <t>326000-Plastics and Rubber Products Manufacturing</t>
  </si>
  <si>
    <t>3261- Plastics Product Manufacturing</t>
  </si>
  <si>
    <t>3262- Rubber Product Manufacturing</t>
  </si>
  <si>
    <t>327000-Nonmetallic Mineral Product Manufacturing</t>
  </si>
  <si>
    <t>3272- Glass and Glass Product Manufacturing</t>
  </si>
  <si>
    <t>331000-Primary Metal Manufacturing</t>
  </si>
  <si>
    <t>3311- Iron and Steel Mills and Ferroalloy Manufacturing</t>
  </si>
  <si>
    <t>3312- Steel Product Manufacturing from Purchased Steel</t>
  </si>
  <si>
    <t>3313- Alumina and Aluminum Production and Processing</t>
  </si>
  <si>
    <t>3314- Nonferrous Metal (except Aluminum) Production and Processing</t>
  </si>
  <si>
    <t>332000-Fabricated Metal Product Manufacturing</t>
  </si>
  <si>
    <t>3328- Coating, Engraving, Heat Treating, and Allied Activities</t>
  </si>
  <si>
    <t>333000-Machinery Manufacturing</t>
  </si>
  <si>
    <t>3335- Metalworking Machinery Manufacturing</t>
  </si>
  <si>
    <t>3339- Other General Purpose Machinery Manufacturing</t>
  </si>
  <si>
    <t>3315- Foundries</t>
  </si>
  <si>
    <t>3321- Forging and Stamping</t>
  </si>
  <si>
    <t>3326- Spring and Wire Product Manufacturing</t>
  </si>
  <si>
    <t>3327- Machine Shops; Turned Product; and Screw, Nut, and Bolt Manufacturing</t>
  </si>
  <si>
    <t>3329- Other Fabricated Metal Product Manufacturing</t>
  </si>
  <si>
    <t>334000-Computer and Electronic Product Manufacturing</t>
  </si>
  <si>
    <t>3344- Semiconductor and Other Electronic Component Manufacturing</t>
  </si>
  <si>
    <t>3336- Engine, Turbine, and Power Transmission Equipment Manufacturing</t>
  </si>
  <si>
    <t>3345- Navigational, Measuring, Electromedical, and Control Instruments Manufacturing</t>
  </si>
  <si>
    <t>335000-Electrical Equipment, Appliance, and Component Manufacturing</t>
  </si>
  <si>
    <t>3359- Other Electrical Equipment and Component Manufacturing</t>
  </si>
  <si>
    <t>541300-Architectural, Engineering, and Related Services</t>
  </si>
  <si>
    <t>5413- Architectural, Engineering, and Related Services</t>
  </si>
  <si>
    <t>541400-Specialized Design Services</t>
  </si>
  <si>
    <t>5414- Specialized Design Services</t>
  </si>
  <si>
    <t>541700-Scientific Research and Development Services</t>
  </si>
  <si>
    <t>5417- Scientific Research and Development Services</t>
  </si>
  <si>
    <t>336000-Transportation Equipment Manufacturing</t>
  </si>
  <si>
    <t>3361- Motor Vehicle Manufacturing</t>
  </si>
  <si>
    <t>3362- Motor Vehicle Body and Trailer Manufacturing</t>
  </si>
  <si>
    <t>3363- Motor Vehicle Parts Manufacturing</t>
  </si>
  <si>
    <t>423000-Merchant Wholesalers, Durable Goods</t>
  </si>
  <si>
    <t>4231- Motor Vehicle and Motor Vehicle Parts and Supplies Merchant Wholesalers</t>
  </si>
  <si>
    <t>4235- Metal and Mineral (except Petroleum) Merchant Wholesalers</t>
  </si>
  <si>
    <t>4238- Machinery, Equipment, and Supplies Merchant Wholesalers</t>
  </si>
  <si>
    <t>4239- Miscellaneous Durable Goods Merchant Wholesalers</t>
  </si>
  <si>
    <t>424000-Merchant Wholesalers, Nondurable Goods</t>
  </si>
  <si>
    <t>4247- Petroleum and Petroleum Products Merchant Wholesalers</t>
  </si>
  <si>
    <t>441000-Motor Vehicle and Parts Dealers</t>
  </si>
  <si>
    <t>4413- Automotive Parts, Accessories, and Tire Stores</t>
  </si>
  <si>
    <t>457000-Gasoline Stations and Fuel Dealers</t>
  </si>
  <si>
    <t>4571- Gasoline Stations</t>
  </si>
  <si>
    <t>4411- Automobile Dealers</t>
  </si>
  <si>
    <t>811000-Repair and Maintenance</t>
  </si>
  <si>
    <t>8111- Automotive Repair and Maintenance</t>
  </si>
  <si>
    <t>484000-Truck Transportation</t>
  </si>
  <si>
    <t>4841- General Freight Trucking</t>
  </si>
  <si>
    <t>4842- Specialized Freight Trucking</t>
  </si>
  <si>
    <t>Total</t>
  </si>
  <si>
    <t>Segment 1: Materials &amp; Processing</t>
  </si>
  <si>
    <t>QCEW, MI Emp 2018</t>
  </si>
  <si>
    <t>QCEW, MI Emp 2024</t>
  </si>
  <si>
    <t>QCEW Emp Lvl Chg,  2018-24</t>
  </si>
  <si>
    <t>QCEW Emp Pct Chg, 2018-24</t>
  </si>
  <si>
    <t>Moody's Emp Lvl Chg, 2024-30</t>
  </si>
  <si>
    <t>Moody's Emp Pct Chg, 2024-30</t>
  </si>
  <si>
    <t>DTMB, Emp Lvl Chg, 2024-30</t>
  </si>
  <si>
    <t>DTMB, Emp Pct Chg, Six year rate, 2024-30</t>
  </si>
  <si>
    <t>Segment 2: Materials &amp; Processing</t>
  </si>
  <si>
    <t>Segments 5-7: Component systems, Engineering and Design, Core Auto</t>
  </si>
  <si>
    <t>Segments 8-10: Downstream sales, services, and logistics</t>
  </si>
  <si>
    <t>Stage Summary</t>
  </si>
  <si>
    <t>Core</t>
  </si>
  <si>
    <t>Upstream + Core</t>
  </si>
  <si>
    <t>Segment Summary</t>
  </si>
  <si>
    <t>1-Materials &amp; Processing</t>
  </si>
  <si>
    <t>2-Equipment Manufacturing</t>
  </si>
  <si>
    <t>3-Forging &amp; Foundries</t>
  </si>
  <si>
    <t>4-Parts &amp; Machining</t>
  </si>
  <si>
    <t>5-Component Systems</t>
  </si>
  <si>
    <t>6-Engineering &amp; Design</t>
  </si>
  <si>
    <t>7-Core Automotive</t>
  </si>
  <si>
    <t>8-Motor Vehicle Parts, Materials, &amp; Products Sales</t>
  </si>
  <si>
    <t>9-Dealers, Maintenance, &amp; Repair</t>
  </si>
  <si>
    <t>10-Logistics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</si>
</sst>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.0%"/>
    <numFmt numFmtId="165" formatCode="0.0"/>
    <numFmt numFmtId="166" formatCode="_(* #,##0_);_(* \(#,##0\);_(* &quot;-&quot;??_);_(@_)"/>
    <numFmt numFmtId="167" formatCode="0.0%"/>
    <numFmt numFmtId="168" formatCode="0.0000000000000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"/>
      <color rgb="FF000000"/>
      <name val="Aptos Narrow"/>
      <family val="2"/>
      <scheme val="minor"/>
    </font>
    <font>
      <b/>
      <sz val="13"/>
      <color theme="4" tint="-0.249977111117893"/>
      <name val="Aptos Narrow"/>
      <family val="2"/>
      <scheme val="minor"/>
    </font>
    <font>
      <sz val="13"/>
      <color rgb="FF00000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</patternFill>
    </fill>
    <fill>
      <patternFill patternType="solid">
        <fgColor rgb="FFD9D9D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33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2" fillId="3" borderId="1" xfId="0" applyFont="1" applyFill="1" applyBorder="1"/>
    <xf numFmtId="0" fontId="2" fillId="3" borderId="5" xfId="0" applyFont="1" applyFill="1" applyBorder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7" fillId="4" borderId="8" xfId="0" applyFont="1" applyFill="1" applyBorder="1"/>
    <xf numFmtId="3" fontId="7" fillId="4" borderId="0" xfId="0" applyNumberFormat="1" applyFont="1" applyFill="1"/>
    <xf numFmtId="3" fontId="7" fillId="4" borderId="8" xfId="0" applyNumberFormat="1" applyFont="1" applyFill="1" applyBorder="1"/>
    <xf numFmtId="164" fontId="7" fillId="4" borderId="0" xfId="0" applyNumberFormat="1" applyFont="1" applyFill="1"/>
    <xf numFmtId="164" fontId="7" fillId="4" borderId="8" xfId="0" applyNumberFormat="1" applyFont="1" applyFill="1" applyBorder="1"/>
    <xf numFmtId="0" fontId="8" fillId="0" borderId="8" xfId="0" applyFont="1" applyBorder="1"/>
    <xf numFmtId="0" fontId="8" fillId="0" borderId="9" xfId="0" applyFont="1" applyBorder="1" applyAlignment="1">
      <alignment horizontal="left" indent="2"/>
    </xf>
    <xf numFmtId="3" fontId="8" fillId="0" borderId="10" xfId="0" applyNumberFormat="1" applyFont="1" applyBorder="1"/>
    <xf numFmtId="3" fontId="8" fillId="0" borderId="8" xfId="0" applyNumberFormat="1" applyFont="1" applyBorder="1"/>
    <xf numFmtId="164" fontId="8" fillId="0" borderId="0" xfId="0" applyNumberFormat="1" applyFont="1"/>
    <xf numFmtId="164" fontId="8" fillId="0" borderId="8" xfId="0" applyNumberFormat="1" applyFont="1" applyBorder="1"/>
    <xf numFmtId="0" fontId="7" fillId="2" borderId="8" xfId="0" applyFont="1" applyFill="1" applyBorder="1"/>
    <xf numFmtId="3" fontId="7" fillId="2" borderId="0" xfId="0" applyNumberFormat="1" applyFont="1" applyFill="1"/>
    <xf numFmtId="3" fontId="7" fillId="2" borderId="8" xfId="0" applyNumberFormat="1" applyFont="1" applyFill="1" applyBorder="1"/>
    <xf numFmtId="164" fontId="7" fillId="2" borderId="0" xfId="0" applyNumberFormat="1" applyFont="1" applyFill="1"/>
    <xf numFmtId="164" fontId="7" fillId="2" borderId="8" xfId="0" applyNumberFormat="1" applyFont="1" applyFill="1" applyBorder="1"/>
    <xf numFmtId="0" fontId="8" fillId="0" borderId="9" xfId="0" applyFont="1" applyBorder="1" applyAlignment="1">
      <alignment horizontal="left" indent="4"/>
    </xf>
    <xf numFmtId="3" fontId="7" fillId="5" borderId="8" xfId="0" applyNumberFormat="1" applyFont="1" applyFill="1" applyBorder="1"/>
    <xf numFmtId="3" fontId="7" fillId="5" borderId="0" xfId="0" applyNumberFormat="1" applyFont="1" applyFill="1"/>
    <xf numFmtId="0" fontId="8" fillId="0" borderId="8" xfId="0" applyFont="1" applyBorder="1" applyAlignment="1">
      <alignment horizontal="left"/>
    </xf>
    <xf numFmtId="0" fontId="8" fillId="0" borderId="8" xfId="0" applyFont="1" applyBorder="1" applyAlignment="1">
      <alignment horizontal="left" indent="2"/>
    </xf>
    <xf numFmtId="3" fontId="8" fillId="0" borderId="0" xfId="0" applyNumberFormat="1" applyFont="1"/>
    <xf numFmtId="0" fontId="8" fillId="0" borderId="8" xfId="0" applyFont="1" applyBorder="1" applyAlignment="1">
      <alignment indent="4"/>
    </xf>
    <xf numFmtId="0" fontId="8" fillId="0" borderId="8" xfId="0" applyFont="1" applyBorder="1" applyAlignment="1">
      <alignment indent="2"/>
    </xf>
    <xf numFmtId="0" fontId="8" fillId="0" borderId="8" xfId="0" applyFont="1" applyBorder="1" applyAlignment="1">
      <alignment horizontal="left" indent="3"/>
    </xf>
    <xf numFmtId="0" fontId="8" fillId="0" borderId="11" xfId="0" applyFont="1" applyBorder="1"/>
    <xf numFmtId="0" fontId="8" fillId="0" borderId="11" xfId="0" applyFont="1" applyBorder="1" applyAlignment="1">
      <alignment horizontal="left" indent="2"/>
    </xf>
    <xf numFmtId="3" fontId="8" fillId="0" borderId="12" xfId="0" applyNumberFormat="1" applyFont="1" applyBorder="1"/>
    <xf numFmtId="3" fontId="8" fillId="0" borderId="11" xfId="0" applyNumberFormat="1" applyFont="1" applyBorder="1"/>
    <xf numFmtId="164" fontId="8" fillId="0" borderId="12" xfId="0" applyNumberFormat="1" applyFont="1" applyBorder="1"/>
    <xf numFmtId="164" fontId="8" fillId="0" borderId="11" xfId="0" applyNumberFormat="1" applyFont="1" applyBorder="1"/>
    <xf numFmtId="0" fontId="9" fillId="0" borderId="0" xfId="0" applyFont="1"/>
    <xf numFmtId="0" fontId="10" fillId="0" borderId="0" xfId="0" applyFont="1"/>
    <xf numFmtId="165" fontId="0" fillId="0" borderId="0" xfId="0" applyNumberFormat="1"/>
    <xf numFmtId="166" fontId="0" fillId="0" borderId="0" xfId="1" applyNumberFormat="1" applyFont="1"/>
    <xf numFmtId="166" fontId="0" fillId="6" borderId="0" xfId="1" applyNumberFormat="1" applyFont="1" applyFill="1"/>
    <xf numFmtId="165" fontId="0" fillId="6" borderId="0" xfId="0" applyNumberFormat="1" applyFill="1"/>
    <xf numFmtId="0" fontId="2" fillId="6" borderId="0" xfId="0" applyFont="1" applyFill="1"/>
    <xf numFmtId="0" fontId="2" fillId="0" borderId="0" xfId="0" applyFont="1"/>
    <xf numFmtId="0" fontId="11" fillId="7" borderId="0" xfId="0" applyFont="1" applyFill="1"/>
    <xf numFmtId="0" fontId="12" fillId="7" borderId="0" xfId="0" applyFont="1" applyFill="1"/>
    <xf numFmtId="165" fontId="12" fillId="7" borderId="0" xfId="0" applyNumberFormat="1" applyFont="1" applyFill="1"/>
    <xf numFmtId="0" fontId="13" fillId="0" borderId="0" xfId="2"/>
    <xf numFmtId="166" fontId="0" fillId="0" borderId="0" xfId="0" applyNumberFormat="1"/>
    <xf numFmtId="166" fontId="2" fillId="0" borderId="0" xfId="0" applyNumberFormat="1" applyFont="1"/>
    <xf numFmtId="0" fontId="0" fillId="0" borderId="17" xfId="0" applyBorder="1" applyAlignment="1">
      <alignment wrapText="1"/>
    </xf>
    <xf numFmtId="0" fontId="0" fillId="0" borderId="19" xfId="0" applyBorder="1" applyAlignment="1">
      <alignment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2" fillId="8" borderId="22" xfId="0" applyFont="1" applyFill="1" applyBorder="1" applyAlignment="1">
      <alignment horizontal="center" vertical="center" wrapText="1"/>
    </xf>
    <xf numFmtId="0" fontId="11" fillId="8" borderId="23" xfId="0" applyFont="1" applyFill="1" applyBorder="1" applyAlignment="1">
      <alignment horizontal="center" vertical="center" wrapText="1"/>
    </xf>
    <xf numFmtId="0" fontId="2" fillId="9" borderId="22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9" borderId="28" xfId="0" applyFont="1" applyFill="1" applyBorder="1" applyAlignment="1">
      <alignment horizontal="center" vertical="center" wrapText="1"/>
    </xf>
    <xf numFmtId="0" fontId="2" fillId="6" borderId="28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2" fillId="8" borderId="28" xfId="0" applyFont="1" applyFill="1" applyBorder="1" applyAlignment="1">
      <alignment horizontal="center" vertical="center" wrapText="1"/>
    </xf>
    <xf numFmtId="0" fontId="11" fillId="8" borderId="29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9" borderId="31" xfId="0" applyFont="1" applyFill="1" applyBorder="1" applyAlignment="1">
      <alignment horizontal="center" vertical="center" wrapText="1"/>
    </xf>
    <xf numFmtId="0" fontId="2" fillId="6" borderId="31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8" borderId="31" xfId="0" applyFont="1" applyFill="1" applyBorder="1" applyAlignment="1">
      <alignment horizontal="center" vertical="center" wrapText="1"/>
    </xf>
    <xf numFmtId="0" fontId="11" fillId="8" borderId="32" xfId="0" applyFont="1" applyFill="1" applyBorder="1" applyAlignment="1">
      <alignment horizontal="center" vertical="center" wrapText="1"/>
    </xf>
    <xf numFmtId="0" fontId="0" fillId="0" borderId="33" xfId="0" applyBorder="1" applyAlignment="1">
      <alignment wrapText="1"/>
    </xf>
    <xf numFmtId="166" fontId="0" fillId="0" borderId="13" xfId="1" applyNumberFormat="1" applyFont="1" applyBorder="1" applyAlignment="1">
      <alignment vertical="center"/>
    </xf>
    <xf numFmtId="166" fontId="0" fillId="9" borderId="13" xfId="1" applyNumberFormat="1" applyFont="1" applyFill="1" applyBorder="1" applyAlignment="1">
      <alignment vertical="center"/>
    </xf>
    <xf numFmtId="165" fontId="0" fillId="9" borderId="13" xfId="0" applyNumberFormat="1" applyFill="1" applyBorder="1" applyAlignment="1">
      <alignment vertical="center"/>
    </xf>
    <xf numFmtId="0" fontId="0" fillId="0" borderId="13" xfId="0" applyBorder="1" applyAlignment="1">
      <alignment vertical="center"/>
    </xf>
    <xf numFmtId="166" fontId="0" fillId="6" borderId="13" xfId="1" applyNumberFormat="1" applyFont="1" applyFill="1" applyBorder="1" applyAlignment="1">
      <alignment vertical="center"/>
    </xf>
    <xf numFmtId="165" fontId="0" fillId="6" borderId="13" xfId="0" applyNumberFormat="1" applyFill="1" applyBorder="1" applyAlignment="1">
      <alignment vertical="center"/>
    </xf>
    <xf numFmtId="166" fontId="0" fillId="8" borderId="13" xfId="0" applyNumberFormat="1" applyFill="1" applyBorder="1" applyAlignment="1">
      <alignment vertical="center"/>
    </xf>
    <xf numFmtId="165" fontId="12" fillId="8" borderId="18" xfId="0" applyNumberFormat="1" applyFont="1" applyFill="1" applyBorder="1" applyAlignment="1">
      <alignment vertical="center"/>
    </xf>
    <xf numFmtId="165" fontId="0" fillId="8" borderId="18" xfId="0" applyNumberFormat="1" applyFill="1" applyBorder="1" applyAlignment="1">
      <alignment vertical="center"/>
    </xf>
    <xf numFmtId="165" fontId="0" fillId="6" borderId="13" xfId="1" applyNumberFormat="1" applyFont="1" applyFill="1" applyBorder="1" applyAlignment="1">
      <alignment vertical="center"/>
    </xf>
    <xf numFmtId="165" fontId="0" fillId="0" borderId="13" xfId="0" applyNumberFormat="1" applyBorder="1" applyAlignment="1">
      <alignment vertical="center"/>
    </xf>
    <xf numFmtId="166" fontId="0" fillId="0" borderId="7" xfId="1" applyNumberFormat="1" applyFont="1" applyBorder="1" applyAlignment="1">
      <alignment vertical="center"/>
    </xf>
    <xf numFmtId="166" fontId="0" fillId="9" borderId="7" xfId="1" applyNumberFormat="1" applyFont="1" applyFill="1" applyBorder="1" applyAlignment="1">
      <alignment vertical="center"/>
    </xf>
    <xf numFmtId="165" fontId="0" fillId="9" borderId="7" xfId="0" applyNumberFormat="1" applyFill="1" applyBorder="1" applyAlignment="1">
      <alignment vertical="center"/>
    </xf>
    <xf numFmtId="0" fontId="0" fillId="0" borderId="7" xfId="0" applyBorder="1" applyAlignment="1">
      <alignment vertical="center"/>
    </xf>
    <xf numFmtId="166" fontId="0" fillId="6" borderId="7" xfId="1" applyNumberFormat="1" applyFont="1" applyFill="1" applyBorder="1" applyAlignment="1">
      <alignment vertical="center"/>
    </xf>
    <xf numFmtId="165" fontId="0" fillId="6" borderId="7" xfId="0" applyNumberFormat="1" applyFill="1" applyBorder="1" applyAlignment="1">
      <alignment vertical="center"/>
    </xf>
    <xf numFmtId="166" fontId="0" fillId="8" borderId="7" xfId="0" applyNumberFormat="1" applyFill="1" applyBorder="1" applyAlignment="1">
      <alignment vertical="center"/>
    </xf>
    <xf numFmtId="165" fontId="0" fillId="8" borderId="20" xfId="0" applyNumberFormat="1" applyFill="1" applyBorder="1" applyAlignment="1">
      <alignment vertical="center"/>
    </xf>
    <xf numFmtId="166" fontId="0" fillId="0" borderId="22" xfId="0" applyNumberFormat="1" applyBorder="1" applyAlignment="1">
      <alignment vertical="center"/>
    </xf>
    <xf numFmtId="165" fontId="0" fillId="0" borderId="22" xfId="3" applyNumberFormat="1" applyFont="1" applyBorder="1" applyAlignment="1">
      <alignment vertical="center"/>
    </xf>
    <xf numFmtId="0" fontId="0" fillId="0" borderId="22" xfId="0" applyBorder="1" applyAlignment="1">
      <alignment vertical="center"/>
    </xf>
    <xf numFmtId="165" fontId="0" fillId="0" borderId="23" xfId="3" applyNumberFormat="1" applyFont="1" applyBorder="1" applyAlignment="1">
      <alignment vertical="center"/>
    </xf>
    <xf numFmtId="166" fontId="0" fillId="0" borderId="13" xfId="0" applyNumberFormat="1" applyBorder="1" applyAlignment="1">
      <alignment vertical="center"/>
    </xf>
    <xf numFmtId="165" fontId="0" fillId="0" borderId="13" xfId="3" applyNumberFormat="1" applyFont="1" applyBorder="1" applyAlignment="1">
      <alignment vertical="center"/>
    </xf>
    <xf numFmtId="165" fontId="0" fillId="0" borderId="18" xfId="3" applyNumberFormat="1" applyFont="1" applyBorder="1" applyAlignment="1">
      <alignment vertical="center"/>
    </xf>
    <xf numFmtId="167" fontId="0" fillId="0" borderId="13" xfId="3" applyNumberFormat="1" applyFont="1" applyBorder="1" applyAlignment="1">
      <alignment vertical="center"/>
    </xf>
    <xf numFmtId="167" fontId="0" fillId="0" borderId="18" xfId="3" applyNumberFormat="1" applyFont="1" applyBorder="1" applyAlignment="1">
      <alignment vertical="center"/>
    </xf>
    <xf numFmtId="166" fontId="0" fillId="0" borderId="7" xfId="0" applyNumberFormat="1" applyBorder="1" applyAlignment="1">
      <alignment vertical="center"/>
    </xf>
    <xf numFmtId="165" fontId="0" fillId="0" borderId="7" xfId="3" applyNumberFormat="1" applyFont="1" applyBorder="1" applyAlignment="1">
      <alignment vertical="center"/>
    </xf>
    <xf numFmtId="165" fontId="0" fillId="0" borderId="20" xfId="3" applyNumberFormat="1" applyFont="1" applyBorder="1" applyAlignment="1">
      <alignment vertical="center"/>
    </xf>
    <xf numFmtId="0" fontId="2" fillId="0" borderId="21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2" fillId="0" borderId="17" xfId="0" applyFont="1" applyBorder="1"/>
    <xf numFmtId="0" fontId="2" fillId="0" borderId="19" xfId="0" applyFont="1" applyBorder="1" applyAlignment="1">
      <alignment wrapText="1"/>
    </xf>
    <xf numFmtId="0" fontId="2" fillId="0" borderId="14" xfId="0" applyFont="1" applyBorder="1" applyAlignment="1">
      <alignment wrapText="1"/>
    </xf>
    <xf numFmtId="166" fontId="0" fillId="0" borderId="15" xfId="0" applyNumberFormat="1" applyBorder="1" applyAlignment="1">
      <alignment vertical="center"/>
    </xf>
    <xf numFmtId="165" fontId="0" fillId="0" borderId="15" xfId="3" applyNumberFormat="1" applyFont="1" applyBorder="1" applyAlignment="1">
      <alignment vertical="center"/>
    </xf>
    <xf numFmtId="0" fontId="0" fillId="0" borderId="15" xfId="0" applyBorder="1" applyAlignment="1">
      <alignment vertical="center"/>
    </xf>
    <xf numFmtId="165" fontId="0" fillId="0" borderId="16" xfId="3" applyNumberFormat="1" applyFont="1" applyBorder="1" applyAlignment="1">
      <alignment vertical="center"/>
    </xf>
    <xf numFmtId="168" fontId="0" fillId="0" borderId="0" xfId="0" applyNumberFormat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26" xfId="0" applyFont="1" applyBorder="1" applyAlignment="1">
      <alignment horizontal="left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ls.gov/projections/nationalMatrix?queryParams=331500&amp;ioType=i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ls.gov/projections/nationalMatrix?queryParams=331500&amp;ioType=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AEA02-FEE7-41D4-AE4B-C230961F97E7}">
  <dimension ref="A1:K40"/>
  <sheetViews>
    <sheetView workbookViewId="0">
      <selection activeCell="B34" sqref="B34"/>
    </sheetView>
  </sheetViews>
  <sheetFormatPr defaultRowHeight="14.45"/>
  <cols>
    <col min="1" max="1" width="9.1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3252</v>
      </c>
      <c r="B2">
        <v>6.07565072827175</v>
      </c>
      <c r="C2">
        <v>1981.67062351134</v>
      </c>
      <c r="D2">
        <v>582.65834316030896</v>
      </c>
      <c r="E2">
        <v>5.8319568012934804</v>
      </c>
      <c r="F2">
        <v>2590.0046641240401</v>
      </c>
      <c r="G2">
        <v>617.20127233388405</v>
      </c>
      <c r="H2">
        <v>-4.0109930257229696</v>
      </c>
      <c r="I2">
        <v>30.698039996918599</v>
      </c>
      <c r="J2">
        <v>5.9285050285585204</v>
      </c>
      <c r="K2">
        <f t="shared" ref="K2:K40" si="0">(E2-B2)*1000</f>
        <v>-243.69392697826964</v>
      </c>
    </row>
    <row r="3" spans="1:11">
      <c r="A3">
        <v>3255</v>
      </c>
      <c r="B3">
        <v>4.7528574439710702</v>
      </c>
      <c r="C3">
        <v>1398.69341941009</v>
      </c>
      <c r="D3">
        <v>378.35169921092802</v>
      </c>
      <c r="E3">
        <v>4.7483597289940196</v>
      </c>
      <c r="F3">
        <v>1824.40185311561</v>
      </c>
      <c r="G3">
        <v>424.73708569975798</v>
      </c>
      <c r="H3">
        <v>-9.4631808971093301E-2</v>
      </c>
      <c r="I3">
        <v>30.436150467131402</v>
      </c>
      <c r="J3">
        <v>12.2598594338466</v>
      </c>
      <c r="K3">
        <f t="shared" si="0"/>
        <v>-4.4977149770506486</v>
      </c>
    </row>
    <row r="4" spans="1:11">
      <c r="A4">
        <v>3261</v>
      </c>
      <c r="B4">
        <v>34.548907681717502</v>
      </c>
      <c r="C4">
        <v>3841.7245780325102</v>
      </c>
      <c r="D4">
        <v>2331.4672578088098</v>
      </c>
      <c r="E4">
        <v>32.532386647774402</v>
      </c>
      <c r="F4">
        <v>4515.0942193825804</v>
      </c>
      <c r="G4">
        <v>2691.1730659362102</v>
      </c>
      <c r="H4">
        <v>-5.8367142964990402</v>
      </c>
      <c r="I4">
        <v>17.527795855030401</v>
      </c>
      <c r="J4">
        <v>15.4283019383021</v>
      </c>
      <c r="K4">
        <f t="shared" si="0"/>
        <v>-2016.5210339430998</v>
      </c>
    </row>
    <row r="5" spans="1:11">
      <c r="A5">
        <v>3262</v>
      </c>
      <c r="B5">
        <v>5.1669390157718702</v>
      </c>
      <c r="C5">
        <v>595.29382588312899</v>
      </c>
      <c r="D5">
        <v>367.22598059697299</v>
      </c>
      <c r="E5">
        <v>4.4957105940750797</v>
      </c>
      <c r="F5">
        <v>604.71094501703499</v>
      </c>
      <c r="G5">
        <v>387.61261616060898</v>
      </c>
      <c r="H5">
        <v>-12.9908330570168</v>
      </c>
      <c r="I5">
        <v>1.5819279025673201</v>
      </c>
      <c r="J5">
        <v>5.5515232148048002</v>
      </c>
      <c r="K5">
        <f t="shared" si="0"/>
        <v>-671.22842169679052</v>
      </c>
    </row>
    <row r="6" spans="1:11">
      <c r="A6">
        <v>3272</v>
      </c>
      <c r="B6">
        <v>3.1666962447892999</v>
      </c>
      <c r="C6">
        <v>660.39718970342597</v>
      </c>
      <c r="D6">
        <v>265.01257687797101</v>
      </c>
      <c r="E6">
        <v>2.87866260528018</v>
      </c>
      <c r="F6">
        <v>662.60054922148595</v>
      </c>
      <c r="G6">
        <v>292.809821757397</v>
      </c>
      <c r="H6">
        <v>-9.09571418424086</v>
      </c>
      <c r="I6">
        <v>0.33364156486636098</v>
      </c>
      <c r="J6">
        <v>10.4890285611708</v>
      </c>
      <c r="K6">
        <f t="shared" si="0"/>
        <v>-288.03363950911989</v>
      </c>
    </row>
    <row r="7" spans="1:11">
      <c r="A7">
        <v>3311</v>
      </c>
      <c r="B7">
        <v>3.3539287734863001</v>
      </c>
      <c r="C7">
        <v>636.83163153851103</v>
      </c>
      <c r="D7">
        <v>369.12266862168201</v>
      </c>
      <c r="E7">
        <v>2.7847225883859701</v>
      </c>
      <c r="F7">
        <v>628.58277767404695</v>
      </c>
      <c r="G7">
        <v>404.27596081596101</v>
      </c>
      <c r="H7">
        <v>-16.9713259744825</v>
      </c>
      <c r="I7">
        <v>-1.2952958766409499</v>
      </c>
      <c r="J7">
        <v>9.5234715130181993</v>
      </c>
      <c r="K7">
        <f t="shared" si="0"/>
        <v>-569.20618510033</v>
      </c>
    </row>
    <row r="8" spans="1:11">
      <c r="A8">
        <v>3312</v>
      </c>
      <c r="B8">
        <v>1.80088237622072</v>
      </c>
      <c r="C8">
        <v>288.21101761219199</v>
      </c>
      <c r="D8">
        <v>143.88080116517699</v>
      </c>
      <c r="E8">
        <v>1.5306198093125101</v>
      </c>
      <c r="F8">
        <v>304.55718855904001</v>
      </c>
      <c r="G8">
        <v>160.01526758057199</v>
      </c>
      <c r="H8">
        <v>-15.0072303708902</v>
      </c>
      <c r="I8">
        <v>5.6715982207323901</v>
      </c>
      <c r="J8">
        <v>11.213772987594</v>
      </c>
      <c r="K8">
        <f t="shared" si="0"/>
        <v>-270.26256690820992</v>
      </c>
    </row>
    <row r="9" spans="1:11">
      <c r="A9">
        <v>3313</v>
      </c>
      <c r="B9">
        <v>2.8673611470962101</v>
      </c>
      <c r="C9">
        <v>292.02483472909802</v>
      </c>
      <c r="D9">
        <v>229.00333358657599</v>
      </c>
      <c r="E9">
        <v>2.5457028815744298</v>
      </c>
      <c r="F9">
        <v>493.989835686113</v>
      </c>
      <c r="G9">
        <v>259.065478787068</v>
      </c>
      <c r="H9">
        <v>-11.217919509285499</v>
      </c>
      <c r="I9">
        <v>69.160214111368504</v>
      </c>
      <c r="J9">
        <v>13.127383226116599</v>
      </c>
      <c r="K9">
        <f t="shared" si="0"/>
        <v>-321.65826552178032</v>
      </c>
    </row>
    <row r="10" spans="1:11">
      <c r="A10">
        <v>3314</v>
      </c>
      <c r="B10">
        <v>1.2288784138748601</v>
      </c>
      <c r="C10">
        <v>134.37959306073</v>
      </c>
      <c r="D10">
        <v>110.945355226217</v>
      </c>
      <c r="E10">
        <v>1.02339582020381</v>
      </c>
      <c r="F10">
        <v>215.592127580294</v>
      </c>
      <c r="G10">
        <v>128.07648081753001</v>
      </c>
      <c r="H10">
        <v>-16.721149248860499</v>
      </c>
      <c r="I10">
        <v>60.435169261794897</v>
      </c>
      <c r="J10">
        <v>15.441048033406</v>
      </c>
      <c r="K10">
        <f t="shared" si="0"/>
        <v>-205.48259367105004</v>
      </c>
    </row>
    <row r="11" spans="1:11">
      <c r="A11">
        <v>3315</v>
      </c>
      <c r="B11">
        <v>9.1395467917124407</v>
      </c>
      <c r="C11">
        <v>872.47681856177303</v>
      </c>
      <c r="D11">
        <v>658.70858177047</v>
      </c>
      <c r="E11">
        <v>7.0489717869754802</v>
      </c>
      <c r="F11">
        <v>1388.6203203862201</v>
      </c>
      <c r="G11">
        <v>668.944788303736</v>
      </c>
      <c r="H11">
        <v>-22.873946076107899</v>
      </c>
      <c r="I11">
        <v>59.158420125738502</v>
      </c>
      <c r="J11">
        <v>1.5539810496705</v>
      </c>
      <c r="K11">
        <f t="shared" si="0"/>
        <v>-2090.5750047369606</v>
      </c>
    </row>
    <row r="12" spans="1:11">
      <c r="A12">
        <v>3321</v>
      </c>
      <c r="B12">
        <v>7.2778845687214204</v>
      </c>
      <c r="C12">
        <v>831.68472796556296</v>
      </c>
      <c r="D12">
        <v>506.52110864842501</v>
      </c>
      <c r="E12">
        <v>6.9710893464745904</v>
      </c>
      <c r="F12">
        <v>1003.60818242638</v>
      </c>
      <c r="G12">
        <v>513.15316878858096</v>
      </c>
      <c r="H12">
        <v>-4.2154450149616398</v>
      </c>
      <c r="I12">
        <v>20.671709925631902</v>
      </c>
      <c r="J12">
        <v>1.3093353913429</v>
      </c>
      <c r="K12">
        <f t="shared" si="0"/>
        <v>-306.79522224683001</v>
      </c>
    </row>
    <row r="13" spans="1:11">
      <c r="A13">
        <v>3326</v>
      </c>
      <c r="B13">
        <v>3.38580977777093</v>
      </c>
      <c r="C13">
        <v>353.11143822684397</v>
      </c>
      <c r="D13">
        <v>209.34482974124899</v>
      </c>
      <c r="E13">
        <v>3.3413276193989301</v>
      </c>
      <c r="F13">
        <v>399.11239206406799</v>
      </c>
      <c r="G13">
        <v>213.899920569253</v>
      </c>
      <c r="H13">
        <v>-1.31378196920688</v>
      </c>
      <c r="I13">
        <v>13.027319100230301</v>
      </c>
      <c r="J13">
        <v>2.1758793057528099</v>
      </c>
      <c r="K13">
        <f t="shared" si="0"/>
        <v>-44.482158371999873</v>
      </c>
    </row>
    <row r="14" spans="1:11">
      <c r="A14">
        <v>3327</v>
      </c>
      <c r="B14">
        <v>24.599399725596101</v>
      </c>
      <c r="C14">
        <v>2828.3276924787601</v>
      </c>
      <c r="D14">
        <v>1695.8085702911801</v>
      </c>
      <c r="E14">
        <v>22.972808561509499</v>
      </c>
      <c r="F14">
        <v>3465.34625149167</v>
      </c>
      <c r="G14">
        <v>1719.8573985877899</v>
      </c>
      <c r="H14">
        <v>-6.6123205534729399</v>
      </c>
      <c r="I14">
        <v>22.522798921317001</v>
      </c>
      <c r="J14">
        <v>1.4181334330958</v>
      </c>
      <c r="K14">
        <f t="shared" si="0"/>
        <v>-1626.5911640866016</v>
      </c>
    </row>
    <row r="15" spans="1:11">
      <c r="A15">
        <v>3328</v>
      </c>
      <c r="B15">
        <v>11.4015516016027</v>
      </c>
      <c r="C15">
        <v>1248.8946051401001</v>
      </c>
      <c r="D15">
        <v>732.456608410782</v>
      </c>
      <c r="E15">
        <v>11.035530223990699</v>
      </c>
      <c r="F15">
        <v>1564.4000247906099</v>
      </c>
      <c r="G15">
        <v>782.22319664107897</v>
      </c>
      <c r="H15">
        <v>-3.2102769026679301</v>
      </c>
      <c r="I15">
        <v>25.2627738443237</v>
      </c>
      <c r="J15">
        <v>6.7944759674264397</v>
      </c>
      <c r="K15">
        <f t="shared" si="0"/>
        <v>-366.02137761200026</v>
      </c>
    </row>
    <row r="16" spans="1:11">
      <c r="A16">
        <v>3329</v>
      </c>
      <c r="B16">
        <v>10.5048496144969</v>
      </c>
      <c r="C16">
        <v>1458.80494417779</v>
      </c>
      <c r="D16">
        <v>870.74594174712001</v>
      </c>
      <c r="E16">
        <v>10.4134136757246</v>
      </c>
      <c r="F16">
        <v>1862.2436822982399</v>
      </c>
      <c r="G16">
        <v>984.23932745492402</v>
      </c>
      <c r="H16">
        <v>-0.87041644695290099</v>
      </c>
      <c r="I16">
        <v>27.6554271172852</v>
      </c>
      <c r="J16">
        <v>13.034041304870501</v>
      </c>
      <c r="K16">
        <f t="shared" si="0"/>
        <v>-91.435938772299608</v>
      </c>
    </row>
    <row r="17" spans="1:11">
      <c r="A17">
        <v>3335</v>
      </c>
      <c r="B17">
        <v>29.741129875183098</v>
      </c>
      <c r="C17">
        <v>4128.3557880592398</v>
      </c>
      <c r="D17">
        <v>2277.8360044389601</v>
      </c>
      <c r="E17">
        <v>27.417929969102399</v>
      </c>
      <c r="F17">
        <v>4285.6290760277298</v>
      </c>
      <c r="G17">
        <v>2186.2241615493699</v>
      </c>
      <c r="H17">
        <v>-7.81140432737645</v>
      </c>
      <c r="I17">
        <v>3.8095865773822699</v>
      </c>
      <c r="J17">
        <v>-4.0218805353437697</v>
      </c>
      <c r="K17">
        <f t="shared" si="0"/>
        <v>-2323.1999060806993</v>
      </c>
    </row>
    <row r="18" spans="1:11">
      <c r="A18">
        <v>3336</v>
      </c>
      <c r="B18">
        <v>4.7929371523871103</v>
      </c>
      <c r="C18">
        <v>872.12753622426999</v>
      </c>
      <c r="D18">
        <v>498.079557068719</v>
      </c>
      <c r="E18">
        <v>4.5789514193732703</v>
      </c>
      <c r="F18">
        <v>971.191167545702</v>
      </c>
      <c r="G18">
        <v>537.89585119593096</v>
      </c>
      <c r="H18">
        <v>-4.4646054436007701</v>
      </c>
      <c r="I18">
        <v>11.3588468666305</v>
      </c>
      <c r="J18">
        <v>7.9939627238543496</v>
      </c>
      <c r="K18">
        <f t="shared" si="0"/>
        <v>-213.98573301383993</v>
      </c>
    </row>
    <row r="19" spans="1:11">
      <c r="A19">
        <v>3339</v>
      </c>
      <c r="B19">
        <v>17.527617255800699</v>
      </c>
      <c r="C19">
        <v>2880.2461835219801</v>
      </c>
      <c r="D19">
        <v>1546.90586997779</v>
      </c>
      <c r="E19">
        <v>17.712227945598698</v>
      </c>
      <c r="F19">
        <v>3352.3856433005899</v>
      </c>
      <c r="G19">
        <v>1703.42419123985</v>
      </c>
      <c r="H19">
        <v>1.05325605359721</v>
      </c>
      <c r="I19">
        <v>16.392330019556699</v>
      </c>
      <c r="J19">
        <v>10.1181542005727</v>
      </c>
      <c r="K19">
        <f t="shared" si="0"/>
        <v>184.61068979799933</v>
      </c>
    </row>
    <row r="20" spans="1:11">
      <c r="A20">
        <v>3344</v>
      </c>
      <c r="B20">
        <v>11.413566719863899</v>
      </c>
      <c r="C20">
        <v>1361.14446595859</v>
      </c>
      <c r="D20">
        <v>1169.13966451735</v>
      </c>
      <c r="E20">
        <v>11.0654850838912</v>
      </c>
      <c r="F20">
        <v>2088.0015401148498</v>
      </c>
      <c r="G20">
        <v>1619.44646109161</v>
      </c>
      <c r="H20">
        <v>-3.0497183265857202</v>
      </c>
      <c r="I20">
        <v>53.400435613890203</v>
      </c>
      <c r="J20">
        <v>38.516082401512399</v>
      </c>
      <c r="K20">
        <f t="shared" si="0"/>
        <v>-348.08163597269902</v>
      </c>
    </row>
    <row r="21" spans="1:11">
      <c r="A21">
        <v>3345</v>
      </c>
      <c r="B21">
        <v>9.7623931323641493</v>
      </c>
      <c r="C21">
        <v>1301.9723596745901</v>
      </c>
      <c r="D21">
        <v>728.39651880017504</v>
      </c>
      <c r="E21">
        <v>9.4962017029636296</v>
      </c>
      <c r="F21">
        <v>1554.67509631083</v>
      </c>
      <c r="G21">
        <v>818.66985530845204</v>
      </c>
      <c r="H21">
        <v>-2.7267026208773602</v>
      </c>
      <c r="I21">
        <v>19.409224378571899</v>
      </c>
      <c r="J21">
        <v>12.3934332713419</v>
      </c>
      <c r="K21">
        <f t="shared" si="0"/>
        <v>-266.19142940051967</v>
      </c>
    </row>
    <row r="22" spans="1:11">
      <c r="A22">
        <v>3359</v>
      </c>
      <c r="B22">
        <v>4.4125247063756197</v>
      </c>
      <c r="C22">
        <v>965.87975254685296</v>
      </c>
      <c r="D22">
        <v>436.76340365541</v>
      </c>
      <c r="E22">
        <v>4.5063465930924904</v>
      </c>
      <c r="F22">
        <v>1123.3189584747499</v>
      </c>
      <c r="G22">
        <v>555.78012439766496</v>
      </c>
      <c r="H22">
        <v>2.12626314774647</v>
      </c>
      <c r="I22">
        <v>16.300083474445</v>
      </c>
      <c r="J22">
        <v>27.249700809675701</v>
      </c>
      <c r="K22">
        <f t="shared" si="0"/>
        <v>93.82188671687075</v>
      </c>
    </row>
    <row r="23" spans="1:11">
      <c r="A23">
        <v>3361</v>
      </c>
      <c r="B23">
        <v>48.642992973327601</v>
      </c>
      <c r="C23">
        <v>21665.243492094</v>
      </c>
      <c r="D23">
        <v>5102.1084772347804</v>
      </c>
      <c r="E23">
        <v>61.873823911871803</v>
      </c>
      <c r="F23">
        <v>30968.402508368399</v>
      </c>
      <c r="G23">
        <v>6370.6050571165597</v>
      </c>
      <c r="H23">
        <v>27.1998701761608</v>
      </c>
      <c r="I23">
        <v>42.940477542609599</v>
      </c>
      <c r="J23">
        <v>24.8622032546293</v>
      </c>
      <c r="K23">
        <f t="shared" si="0"/>
        <v>13230.830938544201</v>
      </c>
    </row>
    <row r="24" spans="1:11">
      <c r="A24">
        <v>3362</v>
      </c>
      <c r="B24">
        <v>8.5942775747622395</v>
      </c>
      <c r="C24">
        <v>1322.86402416644</v>
      </c>
      <c r="D24">
        <v>600.85801104218001</v>
      </c>
      <c r="E24">
        <v>8.6256859198465996</v>
      </c>
      <c r="F24">
        <v>1713.7772336041</v>
      </c>
      <c r="G24">
        <v>710.44342015907</v>
      </c>
      <c r="H24">
        <v>0.36545648905497802</v>
      </c>
      <c r="I24">
        <v>29.550520862034698</v>
      </c>
      <c r="J24">
        <v>18.238153957007999</v>
      </c>
      <c r="K24">
        <f t="shared" si="0"/>
        <v>31.408345084360079</v>
      </c>
    </row>
    <row r="25" spans="1:11">
      <c r="A25">
        <v>3363</v>
      </c>
      <c r="B25">
        <v>118.336495081583</v>
      </c>
      <c r="C25">
        <v>20882.866621054502</v>
      </c>
      <c r="D25">
        <v>9232.1559314383103</v>
      </c>
      <c r="E25">
        <v>107.01125168768399</v>
      </c>
      <c r="F25">
        <v>23452.172078165</v>
      </c>
      <c r="G25">
        <v>9572.1515815942603</v>
      </c>
      <c r="H25">
        <v>-9.5703725094202099</v>
      </c>
      <c r="I25">
        <v>12.303413624833301</v>
      </c>
      <c r="J25">
        <v>3.68273296812671</v>
      </c>
      <c r="K25">
        <f t="shared" si="0"/>
        <v>-11325.243393899002</v>
      </c>
    </row>
    <row r="26" spans="1:11">
      <c r="A26">
        <v>4231</v>
      </c>
      <c r="B26">
        <v>26.092719395955399</v>
      </c>
      <c r="C26">
        <v>7551.9094029623002</v>
      </c>
      <c r="D26">
        <v>2082.5072725802102</v>
      </c>
      <c r="E26">
        <v>27.0498131782205</v>
      </c>
      <c r="F26">
        <v>9447.1893725109803</v>
      </c>
      <c r="G26">
        <v>2550.62857253723</v>
      </c>
      <c r="H26">
        <v>3.6680491892827298</v>
      </c>
      <c r="I26">
        <v>25.096698972649801</v>
      </c>
      <c r="J26">
        <v>22.478735422470699</v>
      </c>
      <c r="K26">
        <f t="shared" si="0"/>
        <v>957.09378226510114</v>
      </c>
    </row>
    <row r="27" spans="1:11">
      <c r="A27">
        <v>4235</v>
      </c>
      <c r="B27">
        <v>6.6521006027810401</v>
      </c>
      <c r="C27">
        <v>1485.2570534562999</v>
      </c>
      <c r="D27">
        <v>635.58324587423897</v>
      </c>
      <c r="E27">
        <v>6.6013493423504102</v>
      </c>
      <c r="F27">
        <v>1820.0893132164599</v>
      </c>
      <c r="G27">
        <v>759.73175674617698</v>
      </c>
      <c r="H27">
        <v>-0.76293585231415895</v>
      </c>
      <c r="I27">
        <v>22.543724601810698</v>
      </c>
      <c r="J27">
        <v>19.533005578391599</v>
      </c>
      <c r="K27">
        <f t="shared" si="0"/>
        <v>-50.751260430629941</v>
      </c>
    </row>
    <row r="28" spans="1:11">
      <c r="A28">
        <v>4238</v>
      </c>
      <c r="B28">
        <v>24.463028271975698</v>
      </c>
      <c r="C28">
        <v>5401.35971188441</v>
      </c>
      <c r="D28">
        <v>2422.09410607991</v>
      </c>
      <c r="E28">
        <v>24.7071238071115</v>
      </c>
      <c r="F28">
        <v>6377.6886603818202</v>
      </c>
      <c r="G28">
        <v>2972.3576526214601</v>
      </c>
      <c r="H28">
        <v>0.997814058104456</v>
      </c>
      <c r="I28">
        <v>18.0756143003996</v>
      </c>
      <c r="J28">
        <v>22.718504006937099</v>
      </c>
      <c r="K28">
        <f t="shared" si="0"/>
        <v>244.09553513580207</v>
      </c>
    </row>
    <row r="29" spans="1:11">
      <c r="A29">
        <v>4239</v>
      </c>
      <c r="B29">
        <v>8.8180915514565701</v>
      </c>
      <c r="C29">
        <v>1588.5818031961501</v>
      </c>
      <c r="D29">
        <v>712.81627230982201</v>
      </c>
      <c r="E29">
        <v>8.8378663365797507</v>
      </c>
      <c r="F29">
        <v>1953.4339711033699</v>
      </c>
      <c r="G29">
        <v>870.76448791769303</v>
      </c>
      <c r="H29">
        <v>0.224252436117054</v>
      </c>
      <c r="I29">
        <v>22.9671627342805</v>
      </c>
      <c r="J29">
        <v>22.1583347271314</v>
      </c>
      <c r="K29">
        <f t="shared" si="0"/>
        <v>19.774785123180649</v>
      </c>
    </row>
    <row r="30" spans="1:11">
      <c r="A30">
        <v>4247</v>
      </c>
      <c r="B30">
        <v>3.6136309026155802</v>
      </c>
      <c r="C30">
        <v>5343.5735133959597</v>
      </c>
      <c r="D30">
        <v>394.91205002975602</v>
      </c>
      <c r="E30">
        <v>3.4064041810985199</v>
      </c>
      <c r="F30">
        <v>6304.0768024954496</v>
      </c>
      <c r="G30">
        <v>472.28886895564602</v>
      </c>
      <c r="H30">
        <v>-5.7345846076054299</v>
      </c>
      <c r="I30">
        <v>17.9749242092687</v>
      </c>
      <c r="J30">
        <v>19.593430719589101</v>
      </c>
      <c r="K30">
        <f t="shared" si="0"/>
        <v>-207.22672151706024</v>
      </c>
    </row>
    <row r="31" spans="1:11">
      <c r="A31">
        <v>4411</v>
      </c>
      <c r="B31">
        <v>38.722638717692803</v>
      </c>
      <c r="C31">
        <v>8784.9767361588092</v>
      </c>
      <c r="D31">
        <v>3150.0033495380699</v>
      </c>
      <c r="E31">
        <v>38.878240452339298</v>
      </c>
      <c r="F31">
        <v>11915.984867535501</v>
      </c>
      <c r="G31">
        <v>3801.1946241467599</v>
      </c>
      <c r="H31">
        <v>0.40183659946551897</v>
      </c>
      <c r="I31">
        <v>35.640482899511198</v>
      </c>
      <c r="J31">
        <v>20.672716894227499</v>
      </c>
      <c r="K31">
        <f t="shared" si="0"/>
        <v>155.60173464649552</v>
      </c>
    </row>
    <row r="32" spans="1:11">
      <c r="A32">
        <v>4413</v>
      </c>
      <c r="B32">
        <v>17.635367689397899</v>
      </c>
      <c r="C32">
        <v>2333.6895934737699</v>
      </c>
      <c r="D32">
        <v>812.27827316094397</v>
      </c>
      <c r="E32">
        <v>17.8437381611738</v>
      </c>
      <c r="F32">
        <v>3281.4946376419098</v>
      </c>
      <c r="G32">
        <v>988.11556723450803</v>
      </c>
      <c r="H32">
        <v>1.1815487799623099</v>
      </c>
      <c r="I32">
        <v>40.614015112322903</v>
      </c>
      <c r="J32">
        <v>21.647420580302001</v>
      </c>
      <c r="K32">
        <f t="shared" si="0"/>
        <v>208.37047177590051</v>
      </c>
    </row>
    <row r="33" spans="1:11">
      <c r="A33">
        <v>4471</v>
      </c>
      <c r="B33">
        <v>27.2125856081644</v>
      </c>
      <c r="C33">
        <v>3063.7924318965402</v>
      </c>
      <c r="D33">
        <v>803.32912440841403</v>
      </c>
      <c r="E33">
        <v>27.642343570231599</v>
      </c>
      <c r="F33">
        <v>2932.7201696758402</v>
      </c>
      <c r="G33">
        <v>1008.94875181116</v>
      </c>
      <c r="H33">
        <v>1.57926177341339</v>
      </c>
      <c r="I33">
        <v>-4.2781051632654901</v>
      </c>
      <c r="J33">
        <v>25.595938346462201</v>
      </c>
      <c r="K33">
        <f t="shared" si="0"/>
        <v>429.75796206719963</v>
      </c>
    </row>
    <row r="34" spans="1:11">
      <c r="A34">
        <v>4571</v>
      </c>
      <c r="B34">
        <v>27.2125856081644</v>
      </c>
      <c r="C34">
        <v>3063.7924318965402</v>
      </c>
      <c r="D34">
        <v>803.32912440841403</v>
      </c>
      <c r="E34">
        <v>27.642343570231599</v>
      </c>
      <c r="F34">
        <v>2932.7201696758402</v>
      </c>
      <c r="G34">
        <v>1008.94875181116</v>
      </c>
      <c r="H34">
        <v>1.57926177341339</v>
      </c>
      <c r="I34">
        <v>-4.2781051632654901</v>
      </c>
      <c r="J34">
        <v>25.595938346462201</v>
      </c>
      <c r="K34">
        <f t="shared" si="0"/>
        <v>429.75796206719963</v>
      </c>
    </row>
    <row r="35" spans="1:11">
      <c r="A35">
        <v>4841</v>
      </c>
      <c r="B35">
        <v>35.490011707927103</v>
      </c>
      <c r="C35">
        <v>5777.4109129864601</v>
      </c>
      <c r="D35">
        <v>2503.5601759910101</v>
      </c>
      <c r="E35">
        <v>32.059536104754798</v>
      </c>
      <c r="F35">
        <v>6417.9610579815098</v>
      </c>
      <c r="G35">
        <v>2661.97982217648</v>
      </c>
      <c r="H35">
        <v>-9.6660311960563803</v>
      </c>
      <c r="I35">
        <v>11.0871488049295</v>
      </c>
      <c r="J35">
        <v>6.3277746508634198</v>
      </c>
      <c r="K35">
        <f t="shared" si="0"/>
        <v>-3430.4756031723045</v>
      </c>
    </row>
    <row r="36" spans="1:11">
      <c r="A36">
        <v>4842</v>
      </c>
      <c r="B36">
        <v>11.6530705928948</v>
      </c>
      <c r="C36">
        <v>1918.9002510426001</v>
      </c>
      <c r="D36">
        <v>821.91725199287998</v>
      </c>
      <c r="E36">
        <v>9.9040667993264897</v>
      </c>
      <c r="F36">
        <v>2205.5294562522599</v>
      </c>
      <c r="G36">
        <v>869.37265463695201</v>
      </c>
      <c r="H36">
        <v>-15.0089521866858</v>
      </c>
      <c r="I36">
        <v>14.9371602329997</v>
      </c>
      <c r="J36">
        <v>5.7737445623640902</v>
      </c>
      <c r="K36">
        <f t="shared" si="0"/>
        <v>-1749.0037935683099</v>
      </c>
    </row>
    <row r="37" spans="1:11">
      <c r="A37">
        <v>5413</v>
      </c>
      <c r="B37">
        <v>85.225140954981597</v>
      </c>
      <c r="C37">
        <v>13842.622215740599</v>
      </c>
      <c r="D37">
        <v>9005.7929119794899</v>
      </c>
      <c r="E37">
        <v>87.5497305456161</v>
      </c>
      <c r="F37">
        <v>18885.3259969418</v>
      </c>
      <c r="G37">
        <v>11038.023267446801</v>
      </c>
      <c r="H37">
        <v>2.7275866775772299</v>
      </c>
      <c r="I37">
        <v>36.428818923246297</v>
      </c>
      <c r="J37">
        <v>22.565812642261101</v>
      </c>
      <c r="K37">
        <f t="shared" si="0"/>
        <v>2324.5895906345027</v>
      </c>
    </row>
    <row r="38" spans="1:11">
      <c r="A38">
        <v>5414</v>
      </c>
      <c r="B38">
        <v>10.3896230254604</v>
      </c>
      <c r="C38">
        <v>1961.46279667459</v>
      </c>
      <c r="D38">
        <v>876.06993020508298</v>
      </c>
      <c r="E38">
        <v>10.180825614789301</v>
      </c>
      <c r="F38">
        <v>2248.2600073399399</v>
      </c>
      <c r="G38">
        <v>1047.1498830542</v>
      </c>
      <c r="H38">
        <v>-2.0096726335445299</v>
      </c>
      <c r="I38">
        <v>14.621598286318401</v>
      </c>
      <c r="J38">
        <v>19.5281160727748</v>
      </c>
      <c r="K38">
        <f t="shared" si="0"/>
        <v>-208.79741067109947</v>
      </c>
    </row>
    <row r="39" spans="1:11">
      <c r="A39">
        <v>5417</v>
      </c>
      <c r="B39">
        <v>23.241098429384401</v>
      </c>
      <c r="C39">
        <v>4864.7684584745102</v>
      </c>
      <c r="D39">
        <v>3805.8143077959498</v>
      </c>
      <c r="E39">
        <v>25.407974233773</v>
      </c>
      <c r="F39">
        <v>6671.2814722119901</v>
      </c>
      <c r="G39">
        <v>5161.5054433373598</v>
      </c>
      <c r="H39">
        <v>9.3234655451952495</v>
      </c>
      <c r="I39">
        <v>37.134614507510598</v>
      </c>
      <c r="J39">
        <v>35.621578613658897</v>
      </c>
      <c r="K39">
        <f t="shared" si="0"/>
        <v>2166.8758043885996</v>
      </c>
    </row>
    <row r="40" spans="1:11">
      <c r="A40">
        <v>8111</v>
      </c>
      <c r="B40">
        <v>30.889639598671401</v>
      </c>
      <c r="C40">
        <v>3622.62350208722</v>
      </c>
      <c r="D40">
        <v>1682.2008075572701</v>
      </c>
      <c r="E40">
        <v>32.808741896138898</v>
      </c>
      <c r="F40">
        <v>4062.5246652465598</v>
      </c>
      <c r="G40">
        <v>2303.9474345705398</v>
      </c>
      <c r="H40">
        <v>6.2127701145143499</v>
      </c>
      <c r="I40">
        <v>12.143165385690301</v>
      </c>
      <c r="J40">
        <v>36.960309626536798</v>
      </c>
      <c r="K40">
        <f t="shared" si="0"/>
        <v>1919.1022974674966</v>
      </c>
    </row>
  </sheetData>
  <autoFilter ref="A1:J40" xr:uid="{109AEA02-FEE7-41D4-AE4B-C230961F97E7}">
    <sortState xmlns:xlrd2="http://schemas.microsoft.com/office/spreadsheetml/2017/richdata2" ref="A2:J40">
      <sortCondition ref="A1:A4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2FE3E-95BF-4193-BA82-C58B18241E5A}">
  <dimension ref="A1:K40"/>
  <sheetViews>
    <sheetView workbookViewId="0">
      <selection activeCell="E1" sqref="E1"/>
    </sheetView>
  </sheetViews>
  <sheetFormatPr defaultRowHeight="14.4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</row>
    <row r="2" spans="1:11">
      <c r="A2">
        <v>3252</v>
      </c>
      <c r="B2">
        <v>94.393607930405295</v>
      </c>
      <c r="C2">
        <v>41.727819136418901</v>
      </c>
      <c r="D2">
        <v>10292.680932302201</v>
      </c>
      <c r="E2">
        <v>92.455066197440502</v>
      </c>
      <c r="F2">
        <v>59.744954353924101</v>
      </c>
      <c r="G2">
        <v>11642.9853123474</v>
      </c>
      <c r="H2">
        <v>-2.0536790313111601</v>
      </c>
      <c r="I2">
        <v>43.177754290495002</v>
      </c>
      <c r="J2">
        <v>13.119073533188899</v>
      </c>
      <c r="K2">
        <f t="shared" ref="K2:K40" si="0">(E2-B2)*1000</f>
        <v>-1938.5417329647935</v>
      </c>
    </row>
    <row r="3" spans="1:11">
      <c r="A3">
        <v>3255</v>
      </c>
      <c r="B3">
        <v>65.098888443635303</v>
      </c>
      <c r="C3">
        <v>28.537826717539001</v>
      </c>
      <c r="D3">
        <v>5892.2114955986599</v>
      </c>
      <c r="E3">
        <v>67.066512960011593</v>
      </c>
      <c r="F3">
        <v>40.672333343687697</v>
      </c>
      <c r="G3">
        <v>7063.5954402052503</v>
      </c>
      <c r="H3">
        <v>3.0225163031468498</v>
      </c>
      <c r="I3">
        <v>42.520780388265997</v>
      </c>
      <c r="J3">
        <v>19.880208737951602</v>
      </c>
      <c r="K3">
        <f t="shared" si="0"/>
        <v>1967.6245163762901</v>
      </c>
    </row>
    <row r="4" spans="1:11">
      <c r="A4">
        <v>3261</v>
      </c>
      <c r="B4">
        <v>592.82110199752503</v>
      </c>
      <c r="C4">
        <v>80.280501407032204</v>
      </c>
      <c r="D4">
        <v>41031.434860390298</v>
      </c>
      <c r="E4">
        <v>578.18495812701997</v>
      </c>
      <c r="F4">
        <v>101.308145858907</v>
      </c>
      <c r="G4">
        <v>49876.883307319898</v>
      </c>
      <c r="H4">
        <v>-2.4688972476162201</v>
      </c>
      <c r="I4">
        <v>26.192716890571301</v>
      </c>
      <c r="J4">
        <v>21.5577361041024</v>
      </c>
      <c r="K4">
        <f t="shared" si="0"/>
        <v>-14636.143870505066</v>
      </c>
    </row>
    <row r="5" spans="1:11">
      <c r="A5">
        <v>3262</v>
      </c>
      <c r="B5">
        <v>132.56222930130201</v>
      </c>
      <c r="C5">
        <v>18.906498592967701</v>
      </c>
      <c r="D5">
        <v>9663.1280554861696</v>
      </c>
      <c r="E5">
        <v>119.53747416248</v>
      </c>
      <c r="F5">
        <v>21.699898524056199</v>
      </c>
      <c r="G5">
        <v>10741.1933965712</v>
      </c>
      <c r="H5">
        <v>-9.8253893341050897</v>
      </c>
      <c r="I5">
        <v>14.7748136301001</v>
      </c>
      <c r="J5">
        <v>11.156484058731101</v>
      </c>
      <c r="K5">
        <f t="shared" si="0"/>
        <v>-13024.755138822016</v>
      </c>
    </row>
    <row r="6" spans="1:11">
      <c r="A6">
        <v>3272</v>
      </c>
      <c r="B6">
        <v>78.024999618530202</v>
      </c>
      <c r="C6">
        <v>14.0490162275635</v>
      </c>
      <c r="D6">
        <v>5752.6723978105401</v>
      </c>
      <c r="E6">
        <v>72.091382878151194</v>
      </c>
      <c r="F6">
        <v>14.2191423612271</v>
      </c>
      <c r="G6">
        <v>6104.1495144295004</v>
      </c>
      <c r="H6">
        <v>-7.6047635621773999</v>
      </c>
      <c r="I6">
        <v>1.2109469510741899</v>
      </c>
      <c r="J6">
        <v>6.1098058834835998</v>
      </c>
      <c r="K6">
        <f t="shared" si="0"/>
        <v>-5933.6167403790087</v>
      </c>
    </row>
    <row r="7" spans="1:11">
      <c r="A7">
        <v>3311</v>
      </c>
      <c r="B7">
        <v>85.466666539510101</v>
      </c>
      <c r="C7">
        <v>27.902222626961098</v>
      </c>
      <c r="D7">
        <v>9828.2336112446701</v>
      </c>
      <c r="E7">
        <v>73.708230600750795</v>
      </c>
      <c r="F7">
        <v>27.9813528306656</v>
      </c>
      <c r="G7">
        <v>11307.0679650681</v>
      </c>
      <c r="H7">
        <v>-13.757920385631801</v>
      </c>
      <c r="I7">
        <v>0.28359820922636703</v>
      </c>
      <c r="J7">
        <v>15.0467969354275</v>
      </c>
      <c r="K7">
        <f t="shared" si="0"/>
        <v>-11758.435938759305</v>
      </c>
    </row>
    <row r="8" spans="1:11">
      <c r="A8">
        <v>3312</v>
      </c>
      <c r="B8">
        <v>59.774999300638797</v>
      </c>
      <c r="C8">
        <v>14.166489092786801</v>
      </c>
      <c r="D8">
        <v>4989.98112806882</v>
      </c>
      <c r="E8">
        <v>53.194640417581397</v>
      </c>
      <c r="F8">
        <v>15.132619636421101</v>
      </c>
      <c r="G8">
        <v>5829.4127787124498</v>
      </c>
      <c r="H8">
        <v>-11.0085469846038</v>
      </c>
      <c r="I8">
        <v>6.8198304979190798</v>
      </c>
      <c r="J8">
        <v>16.822341189264101</v>
      </c>
      <c r="K8">
        <f t="shared" si="0"/>
        <v>-6580.3588830573999</v>
      </c>
    </row>
    <row r="9" spans="1:11">
      <c r="A9">
        <v>3313</v>
      </c>
      <c r="B9">
        <v>61.987248621588201</v>
      </c>
      <c r="C9">
        <v>9.9993414470523199</v>
      </c>
      <c r="D9">
        <v>5172.7750387120705</v>
      </c>
      <c r="E9">
        <v>57.598263323056599</v>
      </c>
      <c r="F9">
        <v>16.415540112481601</v>
      </c>
      <c r="G9">
        <v>6146.9356106693303</v>
      </c>
      <c r="H9">
        <v>-7.0804647667538596</v>
      </c>
      <c r="I9">
        <v>64.166212339120705</v>
      </c>
      <c r="J9">
        <v>18.832455783729799</v>
      </c>
      <c r="K9">
        <f t="shared" si="0"/>
        <v>-4388.9852985316011</v>
      </c>
    </row>
    <row r="10" spans="1:11">
      <c r="A10">
        <v>3314</v>
      </c>
      <c r="B10">
        <v>59.954419888848697</v>
      </c>
      <c r="C10">
        <v>10.9327909733698</v>
      </c>
      <c r="D10">
        <v>5655.6592718468701</v>
      </c>
      <c r="E10">
        <v>52.256016285649103</v>
      </c>
      <c r="F10">
        <v>17.068327490621598</v>
      </c>
      <c r="G10">
        <v>6858.2107861943996</v>
      </c>
      <c r="H10">
        <v>-12.8404271402707</v>
      </c>
      <c r="I10">
        <v>56.120495966645798</v>
      </c>
      <c r="J10">
        <v>21.262799906169601</v>
      </c>
      <c r="K10">
        <f t="shared" si="0"/>
        <v>-7698.4036031995938</v>
      </c>
    </row>
    <row r="11" spans="1:11">
      <c r="A11">
        <v>3315</v>
      </c>
      <c r="B11">
        <v>105.94166564941401</v>
      </c>
      <c r="C11">
        <v>15.4221558598298</v>
      </c>
      <c r="D11">
        <v>7978.0596964960196</v>
      </c>
      <c r="E11">
        <v>86.989286184800505</v>
      </c>
      <c r="F11">
        <v>24.668145227105899</v>
      </c>
      <c r="G11">
        <v>8510.6271683340492</v>
      </c>
      <c r="H11">
        <v>-17.889448262340299</v>
      </c>
      <c r="I11">
        <v>59.9526386019688</v>
      </c>
      <c r="J11">
        <v>6.6754009383000401</v>
      </c>
      <c r="K11">
        <f t="shared" si="0"/>
        <v>-18952.379464613499</v>
      </c>
    </row>
    <row r="12" spans="1:11">
      <c r="A12">
        <v>3321</v>
      </c>
      <c r="B12">
        <v>90.8333333333333</v>
      </c>
      <c r="C12">
        <v>11.555893569658</v>
      </c>
      <c r="D12">
        <v>6413.5878064984299</v>
      </c>
      <c r="E12">
        <v>88.646360229613506</v>
      </c>
      <c r="F12">
        <v>13.187945944355301</v>
      </c>
      <c r="G12">
        <v>6731.8801521166597</v>
      </c>
      <c r="H12">
        <v>-2.4076768114346301</v>
      </c>
      <c r="I12">
        <v>14.1231170472399</v>
      </c>
      <c r="J12">
        <v>4.96278144497726</v>
      </c>
      <c r="K12">
        <f t="shared" si="0"/>
        <v>-2186.9731037197935</v>
      </c>
    </row>
    <row r="13" spans="1:11">
      <c r="A13">
        <v>3326</v>
      </c>
      <c r="B13">
        <v>42.037123432981502</v>
      </c>
      <c r="C13">
        <v>4.7511481236307898</v>
      </c>
      <c r="D13">
        <v>2636.9147198318101</v>
      </c>
      <c r="E13">
        <v>42.257159706864599</v>
      </c>
      <c r="F13">
        <v>5.07067813474431</v>
      </c>
      <c r="G13">
        <v>2791.4530823629798</v>
      </c>
      <c r="H13">
        <v>0.52343323213800097</v>
      </c>
      <c r="I13">
        <v>6.72532202320268</v>
      </c>
      <c r="J13">
        <v>5.8605749123742497</v>
      </c>
      <c r="K13">
        <f t="shared" si="0"/>
        <v>220.0362738830961</v>
      </c>
    </row>
    <row r="14" spans="1:11">
      <c r="A14">
        <v>3327</v>
      </c>
      <c r="B14">
        <v>333.06666819254502</v>
      </c>
      <c r="C14">
        <v>41.971006554111497</v>
      </c>
      <c r="D14">
        <v>23294.151547048899</v>
      </c>
      <c r="E14">
        <v>311.26057843240199</v>
      </c>
      <c r="F14">
        <v>48.859362079631502</v>
      </c>
      <c r="G14">
        <v>24476.446905929901</v>
      </c>
      <c r="H14">
        <v>-6.5470645497125899</v>
      </c>
      <c r="I14">
        <v>16.412176145070799</v>
      </c>
      <c r="J14">
        <v>5.0755029926414998</v>
      </c>
      <c r="K14">
        <f t="shared" si="0"/>
        <v>-21806.089760143037</v>
      </c>
    </row>
    <row r="15" spans="1:11">
      <c r="A15">
        <v>3328</v>
      </c>
      <c r="B15">
        <v>129.650000254313</v>
      </c>
      <c r="C15">
        <v>15.224967081589099</v>
      </c>
      <c r="D15">
        <v>8449.9448383091403</v>
      </c>
      <c r="E15">
        <v>127.039546924954</v>
      </c>
      <c r="F15">
        <v>18.083155779026399</v>
      </c>
      <c r="G15">
        <v>9349.50304277336</v>
      </c>
      <c r="H15">
        <v>-2.01346187754607</v>
      </c>
      <c r="I15">
        <v>18.773036960412298</v>
      </c>
      <c r="J15">
        <v>10.6457287198602</v>
      </c>
      <c r="K15">
        <f t="shared" si="0"/>
        <v>-2610.4533293590039</v>
      </c>
    </row>
    <row r="16" spans="1:11">
      <c r="A16">
        <v>3329</v>
      </c>
      <c r="B16">
        <v>273.99123019760799</v>
      </c>
      <c r="C16">
        <v>41.514917351394899</v>
      </c>
      <c r="D16">
        <v>23041.019248457502</v>
      </c>
      <c r="E16">
        <v>273.26146221360602</v>
      </c>
      <c r="F16">
        <v>50.350427711601398</v>
      </c>
      <c r="G16">
        <v>26983.408386166098</v>
      </c>
      <c r="H16">
        <v>-0.26634720515549098</v>
      </c>
      <c r="I16">
        <v>21.282736240132799</v>
      </c>
      <c r="J16">
        <v>17.1103070363197</v>
      </c>
      <c r="K16">
        <f t="shared" si="0"/>
        <v>-729.76798400196685</v>
      </c>
    </row>
    <row r="17" spans="1:11">
      <c r="A17">
        <v>3335</v>
      </c>
      <c r="B17">
        <v>157.04035182311699</v>
      </c>
      <c r="C17">
        <v>24.609426218042199</v>
      </c>
      <c r="D17">
        <v>11831.073678505199</v>
      </c>
      <c r="E17">
        <v>141.48501410012599</v>
      </c>
      <c r="F17">
        <v>25.873891201315502</v>
      </c>
      <c r="G17">
        <v>11866.193429695801</v>
      </c>
      <c r="H17">
        <v>-9.9053125788410998</v>
      </c>
      <c r="I17">
        <v>5.1381327304017903</v>
      </c>
      <c r="J17">
        <v>0.29684331401354602</v>
      </c>
      <c r="K17">
        <f t="shared" si="0"/>
        <v>-15555.337722990998</v>
      </c>
    </row>
    <row r="18" spans="1:11">
      <c r="A18">
        <v>3336</v>
      </c>
      <c r="B18">
        <v>92.829075038625803</v>
      </c>
      <c r="C18">
        <v>19.738156809361499</v>
      </c>
      <c r="D18">
        <v>9489.1924294041692</v>
      </c>
      <c r="E18">
        <v>89.944792645180002</v>
      </c>
      <c r="F18">
        <v>22.7390424100358</v>
      </c>
      <c r="G18">
        <v>10708.872780271</v>
      </c>
      <c r="H18">
        <v>-3.1070894461090499</v>
      </c>
      <c r="I18">
        <v>15.203474314536701</v>
      </c>
      <c r="J18">
        <v>12.853363022626199</v>
      </c>
      <c r="K18">
        <f t="shared" si="0"/>
        <v>-2884.2823934458011</v>
      </c>
    </row>
    <row r="19" spans="1:11">
      <c r="A19">
        <v>3339</v>
      </c>
      <c r="B19">
        <v>285.437849615414</v>
      </c>
      <c r="C19">
        <v>51.543945921492998</v>
      </c>
      <c r="D19">
        <v>24779.944322886298</v>
      </c>
      <c r="E19">
        <v>286.611813882077</v>
      </c>
      <c r="F19">
        <v>61.6157213703463</v>
      </c>
      <c r="G19">
        <v>28515.0591958687</v>
      </c>
      <c r="H19">
        <v>0.41128542281423103</v>
      </c>
      <c r="I19">
        <v>19.540171534778601</v>
      </c>
      <c r="J19">
        <v>15.07313666372</v>
      </c>
      <c r="K19">
        <f t="shared" si="0"/>
        <v>1173.9642666630061</v>
      </c>
    </row>
    <row r="20" spans="1:11">
      <c r="A20">
        <v>3344</v>
      </c>
      <c r="B20">
        <v>392.37499745686802</v>
      </c>
      <c r="C20">
        <v>126.71699191903301</v>
      </c>
      <c r="D20">
        <v>74324.184630671894</v>
      </c>
      <c r="E20">
        <v>377.43742229071302</v>
      </c>
      <c r="F20">
        <v>189.20717038395799</v>
      </c>
      <c r="G20">
        <v>108389.24394625799</v>
      </c>
      <c r="H20">
        <v>-3.8069640682947501</v>
      </c>
      <c r="I20">
        <v>49.314758438121203</v>
      </c>
      <c r="J20">
        <v>45.833075041267698</v>
      </c>
      <c r="K20">
        <f t="shared" si="0"/>
        <v>-14937.575166155</v>
      </c>
    </row>
    <row r="21" spans="1:11">
      <c r="A21">
        <v>3345</v>
      </c>
      <c r="B21">
        <v>412.71666463216098</v>
      </c>
      <c r="C21">
        <v>136.29501839519801</v>
      </c>
      <c r="D21">
        <v>56944.4714278709</v>
      </c>
      <c r="E21">
        <v>411.13446764594499</v>
      </c>
      <c r="F21">
        <v>162.07742081983201</v>
      </c>
      <c r="G21">
        <v>67382.688861905903</v>
      </c>
      <c r="H21">
        <v>-0.38336154602005801</v>
      </c>
      <c r="I21">
        <v>18.9166139219234</v>
      </c>
      <c r="J21">
        <v>18.330519490828198</v>
      </c>
      <c r="K21">
        <f t="shared" si="0"/>
        <v>-1582.1969862159904</v>
      </c>
    </row>
    <row r="22" spans="1:11">
      <c r="A22">
        <v>3359</v>
      </c>
      <c r="B22">
        <v>165.99006818426699</v>
      </c>
      <c r="C22">
        <v>32.981430652152703</v>
      </c>
      <c r="D22">
        <v>14789.577689685701</v>
      </c>
      <c r="E22">
        <v>161.46477399235599</v>
      </c>
      <c r="F22">
        <v>42.314328153512498</v>
      </c>
      <c r="G22">
        <v>19309.146204626901</v>
      </c>
      <c r="H22">
        <v>-2.7262439502632199</v>
      </c>
      <c r="I22">
        <v>28.297430756693501</v>
      </c>
      <c r="J22">
        <v>30.559145161347001</v>
      </c>
      <c r="K22">
        <f t="shared" si="0"/>
        <v>-4525.2941919110017</v>
      </c>
    </row>
    <row r="23" spans="1:11">
      <c r="A23">
        <v>3361</v>
      </c>
      <c r="B23">
        <v>301.80833180745401</v>
      </c>
      <c r="C23">
        <v>94.547772855787201</v>
      </c>
      <c r="D23">
        <v>29187.685629597701</v>
      </c>
      <c r="E23">
        <v>397.08638010453097</v>
      </c>
      <c r="F23">
        <v>138.71238780708299</v>
      </c>
      <c r="G23">
        <v>38003.1157014032</v>
      </c>
      <c r="H23">
        <v>31.569058324692499</v>
      </c>
      <c r="I23">
        <v>46.711428114398501</v>
      </c>
      <c r="J23">
        <v>30.202566190675299</v>
      </c>
      <c r="K23">
        <f t="shared" si="0"/>
        <v>95278.048297076966</v>
      </c>
    </row>
    <row r="24" spans="1:11">
      <c r="A24">
        <v>3362</v>
      </c>
      <c r="B24">
        <v>163.5</v>
      </c>
      <c r="C24">
        <v>20.0884302025799</v>
      </c>
      <c r="D24">
        <v>10539.482214167199</v>
      </c>
      <c r="E24">
        <v>170.552555070838</v>
      </c>
      <c r="F24">
        <v>27.391753269621599</v>
      </c>
      <c r="G24">
        <v>12994.676303034301</v>
      </c>
      <c r="H24">
        <v>4.3134893399626302</v>
      </c>
      <c r="I24">
        <v>36.355867498813801</v>
      </c>
      <c r="J24">
        <v>23.295205959613099</v>
      </c>
      <c r="K24">
        <f t="shared" si="0"/>
        <v>7052.5550708379969</v>
      </c>
    </row>
    <row r="25" spans="1:11">
      <c r="A25">
        <v>3363</v>
      </c>
      <c r="B25">
        <v>553.30832926432299</v>
      </c>
      <c r="C25">
        <v>75.860796941632699</v>
      </c>
      <c r="D25">
        <v>39800.697010841497</v>
      </c>
      <c r="E25">
        <v>523.78299591707503</v>
      </c>
      <c r="F25">
        <v>92.474567315761604</v>
      </c>
      <c r="G25">
        <v>43031.418634027403</v>
      </c>
      <c r="H25">
        <v>-5.3361447470896399</v>
      </c>
      <c r="I25">
        <v>21.900337254446999</v>
      </c>
      <c r="J25">
        <v>8.1172488569884393</v>
      </c>
      <c r="K25">
        <f t="shared" si="0"/>
        <v>-29525.333347247964</v>
      </c>
    </row>
    <row r="26" spans="1:11">
      <c r="A26">
        <v>4231</v>
      </c>
      <c r="B26">
        <v>381.01024543866703</v>
      </c>
      <c r="C26">
        <v>113.62940831026999</v>
      </c>
      <c r="D26">
        <v>30489.903608713801</v>
      </c>
      <c r="E26">
        <v>401.45334103899398</v>
      </c>
      <c r="F26">
        <v>145.76482056367999</v>
      </c>
      <c r="G26">
        <v>38233.414042270997</v>
      </c>
      <c r="H26">
        <v>5.3654976067087397</v>
      </c>
      <c r="I26">
        <v>28.2808937679788</v>
      </c>
      <c r="J26">
        <v>25.396965936435802</v>
      </c>
      <c r="K26">
        <f t="shared" si="0"/>
        <v>20443.095600326957</v>
      </c>
    </row>
    <row r="27" spans="1:11">
      <c r="A27">
        <v>4235</v>
      </c>
      <c r="B27">
        <v>137.41723561034101</v>
      </c>
      <c r="C27">
        <v>31.209880579297899</v>
      </c>
      <c r="D27">
        <v>13164.5929557203</v>
      </c>
      <c r="E27">
        <v>146.02035362015999</v>
      </c>
      <c r="F27">
        <v>39.809689905036301</v>
      </c>
      <c r="G27">
        <v>16110.967071442001</v>
      </c>
      <c r="H27">
        <v>6.2605814849991299</v>
      </c>
      <c r="I27">
        <v>27.554765241373001</v>
      </c>
      <c r="J27">
        <v>22.381049878502999</v>
      </c>
      <c r="K27">
        <f t="shared" si="0"/>
        <v>8603.1180098189852</v>
      </c>
    </row>
    <row r="28" spans="1:11">
      <c r="A28">
        <v>4238</v>
      </c>
      <c r="B28">
        <v>777.39564099915401</v>
      </c>
      <c r="C28">
        <v>174.82334247649101</v>
      </c>
      <c r="D28">
        <v>77174.721328130399</v>
      </c>
      <c r="E28">
        <v>797.38088750555403</v>
      </c>
      <c r="F28">
        <v>212.73406080951901</v>
      </c>
      <c r="G28">
        <v>96964.208611675596</v>
      </c>
      <c r="H28">
        <v>2.5707947732654999</v>
      </c>
      <c r="I28">
        <v>21.685158169381701</v>
      </c>
      <c r="J28">
        <v>25.6424473493134</v>
      </c>
      <c r="K28">
        <f t="shared" si="0"/>
        <v>19985.246506400017</v>
      </c>
    </row>
    <row r="29" spans="1:11">
      <c r="A29">
        <v>4239</v>
      </c>
      <c r="B29">
        <v>320.46816023941102</v>
      </c>
      <c r="C29">
        <v>61.577907585196797</v>
      </c>
      <c r="D29">
        <v>25974.084882946299</v>
      </c>
      <c r="E29">
        <v>335.147453007877</v>
      </c>
      <c r="F29">
        <v>79.000477723023707</v>
      </c>
      <c r="G29">
        <v>32485.510361866302</v>
      </c>
      <c r="H29">
        <v>4.5805776016873399</v>
      </c>
      <c r="I29">
        <v>28.293540363841799</v>
      </c>
      <c r="J29">
        <v>25.068931237670501</v>
      </c>
      <c r="K29">
        <f t="shared" si="0"/>
        <v>14679.292768465984</v>
      </c>
    </row>
    <row r="30" spans="1:11">
      <c r="A30">
        <v>4247</v>
      </c>
      <c r="B30">
        <v>100.49487350320901</v>
      </c>
      <c r="C30">
        <v>163.43153991866501</v>
      </c>
      <c r="D30">
        <v>12032.637454948601</v>
      </c>
      <c r="E30">
        <v>95.4949178408297</v>
      </c>
      <c r="F30">
        <v>196.130085283445</v>
      </c>
      <c r="G30">
        <v>14511.0127619741</v>
      </c>
      <c r="H30">
        <v>-4.9753340524581198</v>
      </c>
      <c r="I30">
        <v>20.007487771976599</v>
      </c>
      <c r="J30">
        <v>20.597107793737901</v>
      </c>
      <c r="K30">
        <f t="shared" si="0"/>
        <v>-4999.9556623793069</v>
      </c>
    </row>
    <row r="31" spans="1:11">
      <c r="A31">
        <v>4411</v>
      </c>
      <c r="B31">
        <v>1263.953218594</v>
      </c>
      <c r="C31">
        <v>265.50505972332797</v>
      </c>
      <c r="D31">
        <v>104950.141533977</v>
      </c>
      <c r="E31">
        <v>1307.0885118115</v>
      </c>
      <c r="F31">
        <v>357.97839915051998</v>
      </c>
      <c r="G31">
        <v>130929.083709894</v>
      </c>
      <c r="H31">
        <v>3.41272861866572</v>
      </c>
      <c r="I31">
        <v>34.829219271208601</v>
      </c>
      <c r="J31">
        <v>24.7536037552706</v>
      </c>
      <c r="K31">
        <f t="shared" si="0"/>
        <v>43135.293217500017</v>
      </c>
    </row>
    <row r="32" spans="1:11">
      <c r="A32">
        <v>4413</v>
      </c>
      <c r="B32">
        <v>583.40036297492702</v>
      </c>
      <c r="C32">
        <v>69.3877142319825</v>
      </c>
      <c r="D32">
        <v>27427.915787612801</v>
      </c>
      <c r="E32">
        <v>609.73124597696699</v>
      </c>
      <c r="F32">
        <v>96.3781083922363</v>
      </c>
      <c r="G32">
        <v>34493.695169839397</v>
      </c>
      <c r="H32">
        <v>4.5133470380051897</v>
      </c>
      <c r="I32">
        <v>38.897943906924503</v>
      </c>
      <c r="J32">
        <v>25.761269784186901</v>
      </c>
      <c r="K32">
        <f t="shared" si="0"/>
        <v>26330.883002039969</v>
      </c>
    </row>
    <row r="33" spans="1:11">
      <c r="A33">
        <v>4471</v>
      </c>
      <c r="B33">
        <v>966.66649752460398</v>
      </c>
      <c r="C33">
        <v>98.6416525059294</v>
      </c>
      <c r="D33">
        <v>31914.685365256901</v>
      </c>
      <c r="E33">
        <v>1002.95842728267</v>
      </c>
      <c r="F33">
        <v>93.016898248592298</v>
      </c>
      <c r="G33">
        <v>41334.603406702299</v>
      </c>
      <c r="H33">
        <v>3.7543382180937601</v>
      </c>
      <c r="I33">
        <v>-5.7022100851351496</v>
      </c>
      <c r="J33">
        <v>29.515935794561099</v>
      </c>
      <c r="K33">
        <f t="shared" si="0"/>
        <v>36291.929758065977</v>
      </c>
    </row>
    <row r="34" spans="1:11">
      <c r="A34">
        <v>4571</v>
      </c>
      <c r="B34">
        <v>966.66649752460398</v>
      </c>
      <c r="C34">
        <v>98.6416525059294</v>
      </c>
      <c r="D34">
        <v>31914.685365256901</v>
      </c>
      <c r="E34">
        <v>1002.95842728267</v>
      </c>
      <c r="F34">
        <v>93.016898248592298</v>
      </c>
      <c r="G34">
        <v>41334.603406702299</v>
      </c>
      <c r="H34">
        <v>3.7543382180937601</v>
      </c>
      <c r="I34">
        <v>-5.7022100851351496</v>
      </c>
      <c r="J34">
        <v>29.515935794561099</v>
      </c>
      <c r="K34">
        <f t="shared" si="0"/>
        <v>36291.929758065977</v>
      </c>
    </row>
    <row r="35" spans="1:11">
      <c r="A35">
        <v>4841</v>
      </c>
      <c r="B35">
        <v>1064.63522043478</v>
      </c>
      <c r="C35">
        <v>180.20066657756499</v>
      </c>
      <c r="D35">
        <v>75548.684093871794</v>
      </c>
      <c r="E35">
        <v>932.84513169243598</v>
      </c>
      <c r="F35">
        <v>207.812804404498</v>
      </c>
      <c r="G35">
        <v>79155.045618714998</v>
      </c>
      <c r="H35">
        <v>-12.3788961902391</v>
      </c>
      <c r="I35">
        <v>15.322994277075701</v>
      </c>
      <c r="J35">
        <v>4.7735596828690898</v>
      </c>
      <c r="K35">
        <f t="shared" si="0"/>
        <v>-131790.08874234397</v>
      </c>
    </row>
    <row r="36" spans="1:11">
      <c r="A36">
        <v>4842</v>
      </c>
      <c r="B36">
        <v>456.998116498689</v>
      </c>
      <c r="C36">
        <v>77.340333422434696</v>
      </c>
      <c r="D36">
        <v>32424.743628762601</v>
      </c>
      <c r="E36">
        <v>404.57768127989198</v>
      </c>
      <c r="F36">
        <v>95.8877983053912</v>
      </c>
      <c r="G36">
        <v>33795.5411583846</v>
      </c>
      <c r="H36">
        <v>-11.470602027950999</v>
      </c>
      <c r="I36">
        <v>23.981620019207501</v>
      </c>
      <c r="J36">
        <v>4.2276279662118803</v>
      </c>
      <c r="K36">
        <f t="shared" si="0"/>
        <v>-52420.435218797022</v>
      </c>
    </row>
    <row r="37" spans="1:11">
      <c r="A37">
        <v>5413</v>
      </c>
      <c r="B37">
        <v>1703.0916317824201</v>
      </c>
      <c r="C37">
        <v>319.83524153068299</v>
      </c>
      <c r="D37">
        <v>197727.65311159799</v>
      </c>
      <c r="E37">
        <v>1836.4274982279901</v>
      </c>
      <c r="F37">
        <v>449.89712753453102</v>
      </c>
      <c r="G37">
        <v>240838.848070468</v>
      </c>
      <c r="H37">
        <v>7.8290483000037296</v>
      </c>
      <c r="I37">
        <v>40.665276716033901</v>
      </c>
      <c r="J37">
        <v>21.803321022850099</v>
      </c>
      <c r="K37">
        <f t="shared" si="0"/>
        <v>133335.86644556999</v>
      </c>
    </row>
    <row r="38" spans="1:11">
      <c r="A38">
        <v>5414</v>
      </c>
      <c r="B38">
        <v>151.05000258649801</v>
      </c>
      <c r="C38">
        <v>35.474258092870997</v>
      </c>
      <c r="D38">
        <v>13993.774602970399</v>
      </c>
      <c r="E38">
        <v>150.71959686504701</v>
      </c>
      <c r="F38">
        <v>41.524794253576701</v>
      </c>
      <c r="G38">
        <v>16622.438300457601</v>
      </c>
      <c r="H38">
        <v>-0.21873930208082401</v>
      </c>
      <c r="I38">
        <v>17.056131645841301</v>
      </c>
      <c r="J38">
        <v>18.784522204103698</v>
      </c>
      <c r="K38">
        <f t="shared" si="0"/>
        <v>-330.405721451001</v>
      </c>
    </row>
    <row r="39" spans="1:11">
      <c r="A39">
        <v>5417</v>
      </c>
      <c r="B39">
        <v>936.74165857532</v>
      </c>
      <c r="C39">
        <v>246.11033754802699</v>
      </c>
      <c r="D39">
        <v>168533.38521065199</v>
      </c>
      <c r="E39">
        <v>1046.5237402487301</v>
      </c>
      <c r="F39">
        <v>337.05182677531297</v>
      </c>
      <c r="G39">
        <v>227145.700153579</v>
      </c>
      <c r="H39">
        <v>11.7195686418363</v>
      </c>
      <c r="I39">
        <v>36.951511315342103</v>
      </c>
      <c r="J39">
        <v>34.7778660410019</v>
      </c>
      <c r="K39">
        <f t="shared" si="0"/>
        <v>109782.08167341007</v>
      </c>
    </row>
    <row r="40" spans="1:11">
      <c r="A40">
        <v>8111</v>
      </c>
      <c r="B40">
        <v>1036.51847180242</v>
      </c>
      <c r="C40">
        <v>120.29882741983501</v>
      </c>
      <c r="D40">
        <v>58364.2230965407</v>
      </c>
      <c r="E40">
        <v>1090.8185864142899</v>
      </c>
      <c r="F40">
        <v>138.40364876669699</v>
      </c>
      <c r="G40">
        <v>79645.585656738403</v>
      </c>
      <c r="H40">
        <v>5.2387020674550397</v>
      </c>
      <c r="I40">
        <v>15.0498734984984</v>
      </c>
      <c r="J40">
        <v>36.463027229876602</v>
      </c>
      <c r="K40">
        <f t="shared" si="0"/>
        <v>54300.114611869954</v>
      </c>
    </row>
  </sheetData>
  <autoFilter ref="A1:K40" xr:uid="{C7E2FE3E-95BF-4193-BA82-C58B18241E5A}">
    <sortState xmlns:xlrd2="http://schemas.microsoft.com/office/spreadsheetml/2017/richdata2" ref="A2:K40">
      <sortCondition ref="A1:A4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C6259-7241-46F3-AC3D-3557C34999A8}">
  <dimension ref="A1:I156"/>
  <sheetViews>
    <sheetView workbookViewId="0">
      <selection activeCell="I7" sqref="I7"/>
    </sheetView>
  </sheetViews>
  <sheetFormatPr defaultRowHeight="14.45"/>
  <cols>
    <col min="2" max="2" width="43.140625" customWidth="1"/>
    <col min="5" max="5" width="18.5703125" customWidth="1"/>
    <col min="6" max="6" width="15.140625" customWidth="1"/>
    <col min="7" max="7" width="12.7109375" customWidth="1"/>
  </cols>
  <sheetData>
    <row r="1" spans="1:9" ht="18.600000000000001">
      <c r="A1" s="1" t="s">
        <v>12</v>
      </c>
    </row>
    <row r="2" spans="1:9" ht="17.100000000000001">
      <c r="A2" s="2" t="s">
        <v>13</v>
      </c>
    </row>
    <row r="3" spans="1:9" ht="17.100000000000001">
      <c r="A3" s="3" t="s">
        <v>14</v>
      </c>
    </row>
    <row r="4" spans="1:9" ht="17.100000000000001">
      <c r="A4" s="4" t="s">
        <v>15</v>
      </c>
    </row>
    <row r="5" spans="1:9">
      <c r="A5" s="5"/>
      <c r="B5" s="5"/>
      <c r="C5" s="127" t="s">
        <v>16</v>
      </c>
      <c r="D5" s="128"/>
      <c r="E5" s="127" t="s">
        <v>17</v>
      </c>
      <c r="F5" s="128"/>
      <c r="G5" s="129"/>
    </row>
    <row r="6" spans="1:9" ht="15" thickBot="1">
      <c r="A6" s="6" t="s">
        <v>18</v>
      </c>
      <c r="B6" s="6" t="s">
        <v>19</v>
      </c>
      <c r="C6" s="7" t="s">
        <v>20</v>
      </c>
      <c r="D6" s="8" t="s">
        <v>21</v>
      </c>
      <c r="E6" s="7" t="s">
        <v>22</v>
      </c>
      <c r="F6" s="8" t="s">
        <v>23</v>
      </c>
      <c r="G6" s="9" t="s">
        <v>24</v>
      </c>
    </row>
    <row r="7" spans="1:9">
      <c r="A7" s="10" t="s">
        <v>25</v>
      </c>
      <c r="B7" s="10" t="s">
        <v>26</v>
      </c>
      <c r="C7" s="11">
        <v>4524550</v>
      </c>
      <c r="D7" s="12">
        <v>4549560</v>
      </c>
      <c r="E7" s="11">
        <v>25010</v>
      </c>
      <c r="F7" s="13">
        <v>6.0000000000000001E-3</v>
      </c>
      <c r="G7" s="14">
        <v>1E-3</v>
      </c>
      <c r="I7">
        <f>(1+G7)^6-1</f>
        <v>6.0150200150050903E-3</v>
      </c>
    </row>
    <row r="8" spans="1:9">
      <c r="A8" s="15" t="s">
        <v>27</v>
      </c>
      <c r="B8" s="16" t="s">
        <v>28</v>
      </c>
      <c r="C8" s="17">
        <v>204110</v>
      </c>
      <c r="D8" s="18">
        <v>196740</v>
      </c>
      <c r="E8" s="17">
        <v>-7370</v>
      </c>
      <c r="F8" s="19">
        <v>-3.5999999999999997E-2</v>
      </c>
      <c r="G8" s="20">
        <v>-4.0000000000000001E-3</v>
      </c>
      <c r="I8">
        <f>(1+G8)^6-1</f>
        <v>-2.3761276166139877E-2</v>
      </c>
    </row>
    <row r="9" spans="1:9">
      <c r="A9" s="10" t="s">
        <v>29</v>
      </c>
      <c r="B9" s="10" t="s">
        <v>30</v>
      </c>
      <c r="C9" s="11">
        <v>826260</v>
      </c>
      <c r="D9" s="12">
        <v>808930</v>
      </c>
      <c r="E9" s="11">
        <v>-17330</v>
      </c>
      <c r="F9" s="13">
        <v>-2.1000000000000001E-2</v>
      </c>
      <c r="G9" s="14">
        <v>-2E-3</v>
      </c>
      <c r="I9">
        <f>(1+G9)^6-1</f>
        <v>-1.1940159760191915E-2</v>
      </c>
    </row>
    <row r="10" spans="1:9">
      <c r="A10" s="10" t="s">
        <v>31</v>
      </c>
      <c r="B10" s="10" t="s">
        <v>32</v>
      </c>
      <c r="C10" s="11">
        <v>39960</v>
      </c>
      <c r="D10" s="12">
        <v>40590</v>
      </c>
      <c r="E10" s="11">
        <v>630</v>
      </c>
      <c r="F10" s="13">
        <v>1.5765765765765764E-2</v>
      </c>
      <c r="G10" s="14">
        <v>2E-3</v>
      </c>
      <c r="I10">
        <f>(1+G10)^6-1</f>
        <v>1.2060160240191742E-2</v>
      </c>
    </row>
    <row r="11" spans="1:9">
      <c r="A11" s="21" t="s">
        <v>33</v>
      </c>
      <c r="B11" s="21" t="s">
        <v>34</v>
      </c>
      <c r="C11" s="22">
        <v>34550</v>
      </c>
      <c r="D11" s="23">
        <v>35820</v>
      </c>
      <c r="E11" s="22">
        <v>1270</v>
      </c>
      <c r="F11" s="24">
        <v>3.6758321273516643E-2</v>
      </c>
      <c r="G11" s="25">
        <v>4.0000000000000001E-3</v>
      </c>
    </row>
    <row r="12" spans="1:9">
      <c r="A12" s="15" t="s">
        <v>35</v>
      </c>
      <c r="B12" s="16" t="s">
        <v>36</v>
      </c>
      <c r="C12" s="17">
        <v>19470</v>
      </c>
      <c r="D12" s="18">
        <v>20100</v>
      </c>
      <c r="E12" s="17">
        <v>630</v>
      </c>
      <c r="F12" s="19">
        <v>3.2357473035439135E-2</v>
      </c>
      <c r="G12" s="20">
        <v>3.0000000000000001E-3</v>
      </c>
    </row>
    <row r="13" spans="1:9">
      <c r="A13" s="15" t="s">
        <v>37</v>
      </c>
      <c r="B13" s="16" t="s">
        <v>38</v>
      </c>
      <c r="C13" s="17">
        <v>8850</v>
      </c>
      <c r="D13" s="18">
        <v>9510</v>
      </c>
      <c r="E13" s="17">
        <v>660</v>
      </c>
      <c r="F13" s="19">
        <v>7.4576271186440682E-2</v>
      </c>
      <c r="G13" s="20">
        <v>7.0000000000000001E-3</v>
      </c>
    </row>
    <row r="14" spans="1:9">
      <c r="A14" s="15" t="s">
        <v>39</v>
      </c>
      <c r="B14" s="16" t="s">
        <v>40</v>
      </c>
      <c r="C14" s="17">
        <v>2000</v>
      </c>
      <c r="D14" s="18">
        <v>1860</v>
      </c>
      <c r="E14" s="17">
        <v>-140</v>
      </c>
      <c r="F14" s="19">
        <v>-7.0000000000000007E-2</v>
      </c>
      <c r="G14" s="20">
        <v>-7.0000000000000001E-3</v>
      </c>
    </row>
    <row r="15" spans="1:9">
      <c r="A15" s="15" t="s">
        <v>41</v>
      </c>
      <c r="B15" s="16" t="s">
        <v>42</v>
      </c>
      <c r="C15" s="17">
        <v>220</v>
      </c>
      <c r="D15" s="18">
        <v>210</v>
      </c>
      <c r="E15" s="17">
        <v>-10</v>
      </c>
      <c r="F15" s="19">
        <v>-4.5454545454545456E-2</v>
      </c>
      <c r="G15" s="20">
        <v>-5.0000000000000001E-3</v>
      </c>
    </row>
    <row r="16" spans="1:9">
      <c r="A16" s="15" t="s">
        <v>43</v>
      </c>
      <c r="B16" s="16" t="s">
        <v>44</v>
      </c>
      <c r="C16" s="17">
        <v>4010</v>
      </c>
      <c r="D16" s="18">
        <v>4140</v>
      </c>
      <c r="E16" s="17">
        <v>130</v>
      </c>
      <c r="F16" s="19">
        <v>3.2418952618453865E-2</v>
      </c>
      <c r="G16" s="20">
        <v>3.0000000000000001E-3</v>
      </c>
    </row>
    <row r="17" spans="1:7">
      <c r="A17" s="21" t="s">
        <v>45</v>
      </c>
      <c r="B17" s="21" t="s">
        <v>46</v>
      </c>
      <c r="C17" s="22">
        <v>5410</v>
      </c>
      <c r="D17" s="23">
        <v>4770</v>
      </c>
      <c r="E17" s="22">
        <v>-640</v>
      </c>
      <c r="F17" s="24">
        <v>-0.11829944547134935</v>
      </c>
      <c r="G17" s="25">
        <v>-1.2999999999999999E-2</v>
      </c>
    </row>
    <row r="18" spans="1:7">
      <c r="A18" s="15" t="s">
        <v>47</v>
      </c>
      <c r="B18" s="16" t="s">
        <v>48</v>
      </c>
      <c r="C18" s="17">
        <v>570</v>
      </c>
      <c r="D18" s="18">
        <v>540</v>
      </c>
      <c r="E18" s="17">
        <v>-30</v>
      </c>
      <c r="F18" s="19">
        <v>-5.2631578947368418E-2</v>
      </c>
      <c r="G18" s="20">
        <v>-5.0000000000000001E-3</v>
      </c>
    </row>
    <row r="19" spans="1:7">
      <c r="A19" s="15" t="s">
        <v>49</v>
      </c>
      <c r="B19" s="16" t="s">
        <v>50</v>
      </c>
      <c r="C19" s="17">
        <v>3470</v>
      </c>
      <c r="D19" s="18">
        <v>2930</v>
      </c>
      <c r="E19" s="17">
        <v>-540</v>
      </c>
      <c r="F19" s="19">
        <v>-0.15561959654178675</v>
      </c>
      <c r="G19" s="20">
        <v>-1.7000000000000001E-2</v>
      </c>
    </row>
    <row r="20" spans="1:7">
      <c r="A20" s="15" t="s">
        <v>51</v>
      </c>
      <c r="B20" s="16" t="s">
        <v>52</v>
      </c>
      <c r="C20" s="17">
        <v>1370</v>
      </c>
      <c r="D20" s="18">
        <v>1300</v>
      </c>
      <c r="E20" s="17">
        <v>-70</v>
      </c>
      <c r="F20" s="19">
        <v>-5.1094890510948905E-2</v>
      </c>
      <c r="G20" s="20">
        <v>-5.0000000000000001E-3</v>
      </c>
    </row>
    <row r="21" spans="1:7">
      <c r="A21" s="10" t="s">
        <v>53</v>
      </c>
      <c r="B21" s="10" t="s">
        <v>54</v>
      </c>
      <c r="C21" s="11">
        <v>182870</v>
      </c>
      <c r="D21" s="12">
        <v>183160</v>
      </c>
      <c r="E21" s="11">
        <v>290</v>
      </c>
      <c r="F21" s="13">
        <v>2E-3</v>
      </c>
      <c r="G21" s="14">
        <v>0</v>
      </c>
    </row>
    <row r="22" spans="1:7">
      <c r="A22" s="21" t="s">
        <v>55</v>
      </c>
      <c r="B22" s="21" t="s">
        <v>54</v>
      </c>
      <c r="C22" s="22">
        <v>182870</v>
      </c>
      <c r="D22" s="23">
        <v>183160</v>
      </c>
      <c r="E22" s="22">
        <v>290</v>
      </c>
      <c r="F22" s="24">
        <v>2E-3</v>
      </c>
      <c r="G22" s="25">
        <v>0</v>
      </c>
    </row>
    <row r="23" spans="1:7">
      <c r="A23" s="15" t="s">
        <v>56</v>
      </c>
      <c r="B23" s="16" t="s">
        <v>57</v>
      </c>
      <c r="C23" s="17">
        <v>46100</v>
      </c>
      <c r="D23" s="18">
        <v>45520</v>
      </c>
      <c r="E23" s="17">
        <v>-580</v>
      </c>
      <c r="F23" s="19">
        <v>-1.2581344902386117E-2</v>
      </c>
      <c r="G23" s="20">
        <v>-1E-3</v>
      </c>
    </row>
    <row r="24" spans="1:7">
      <c r="A24" s="15" t="s">
        <v>58</v>
      </c>
      <c r="B24" s="16" t="s">
        <v>59</v>
      </c>
      <c r="C24" s="17">
        <v>20450</v>
      </c>
      <c r="D24" s="18">
        <v>20110</v>
      </c>
      <c r="E24" s="17">
        <v>-340</v>
      </c>
      <c r="F24" s="19">
        <v>-1.7000000000000001E-2</v>
      </c>
      <c r="G24" s="20">
        <v>-2E-3</v>
      </c>
    </row>
    <row r="25" spans="1:7">
      <c r="A25" s="15" t="s">
        <v>60</v>
      </c>
      <c r="B25" s="26" t="s">
        <v>61</v>
      </c>
      <c r="C25" s="17">
        <v>10840</v>
      </c>
      <c r="D25" s="18">
        <v>10370</v>
      </c>
      <c r="E25" s="17">
        <v>-470</v>
      </c>
      <c r="F25" s="19">
        <v>-4.3357933579335796E-2</v>
      </c>
      <c r="G25" s="20">
        <v>-4.0000000000000001E-3</v>
      </c>
    </row>
    <row r="26" spans="1:7">
      <c r="A26" s="15" t="s">
        <v>62</v>
      </c>
      <c r="B26" s="26" t="s">
        <v>63</v>
      </c>
      <c r="C26" s="17">
        <v>350</v>
      </c>
      <c r="D26" s="18">
        <v>330</v>
      </c>
      <c r="E26" s="17">
        <v>-20</v>
      </c>
      <c r="F26" s="19">
        <v>-5.7142857142857141E-2</v>
      </c>
      <c r="G26" s="20">
        <v>-6.0000000000000001E-3</v>
      </c>
    </row>
    <row r="27" spans="1:7">
      <c r="A27" s="15" t="s">
        <v>64</v>
      </c>
      <c r="B27" s="26" t="s">
        <v>65</v>
      </c>
      <c r="C27" s="17">
        <v>7120</v>
      </c>
      <c r="D27" s="18">
        <v>7230</v>
      </c>
      <c r="E27" s="17">
        <v>110</v>
      </c>
      <c r="F27" s="19">
        <v>1.5449438202247191E-2</v>
      </c>
      <c r="G27" s="20">
        <v>2E-3</v>
      </c>
    </row>
    <row r="28" spans="1:7">
      <c r="A28" s="15" t="s">
        <v>66</v>
      </c>
      <c r="B28" s="26" t="s">
        <v>67</v>
      </c>
      <c r="C28" s="17">
        <v>2140</v>
      </c>
      <c r="D28" s="18">
        <v>2180</v>
      </c>
      <c r="E28" s="17">
        <v>40</v>
      </c>
      <c r="F28" s="19">
        <v>1.8691588785046728E-2</v>
      </c>
      <c r="G28" s="20">
        <v>2E-3</v>
      </c>
    </row>
    <row r="29" spans="1:7">
      <c r="A29" s="15" t="s">
        <v>68</v>
      </c>
      <c r="B29" s="16" t="s">
        <v>69</v>
      </c>
      <c r="C29" s="17">
        <v>116320</v>
      </c>
      <c r="D29" s="18">
        <v>117530</v>
      </c>
      <c r="E29" s="17">
        <v>1210</v>
      </c>
      <c r="F29" s="19">
        <v>0.01</v>
      </c>
      <c r="G29" s="20">
        <v>1E-3</v>
      </c>
    </row>
    <row r="30" spans="1:7">
      <c r="A30" s="10" t="s">
        <v>70</v>
      </c>
      <c r="B30" s="10" t="s">
        <v>71</v>
      </c>
      <c r="C30" s="11">
        <v>603430</v>
      </c>
      <c r="D30" s="12">
        <v>585180</v>
      </c>
      <c r="E30" s="11">
        <v>-18250</v>
      </c>
      <c r="F30" s="13">
        <v>-0.03</v>
      </c>
      <c r="G30" s="14">
        <v>-3.0000000000000001E-3</v>
      </c>
    </row>
    <row r="31" spans="1:7">
      <c r="A31" s="21" t="s">
        <v>72</v>
      </c>
      <c r="B31" s="21" t="s">
        <v>71</v>
      </c>
      <c r="C31" s="22">
        <v>603430</v>
      </c>
      <c r="D31" s="23">
        <v>585180</v>
      </c>
      <c r="E31" s="22">
        <v>-18250</v>
      </c>
      <c r="F31" s="24">
        <v>-0.03</v>
      </c>
      <c r="G31" s="25">
        <v>-3.0000000000000001E-3</v>
      </c>
    </row>
    <row r="32" spans="1:7">
      <c r="A32" s="15" t="s">
        <v>73</v>
      </c>
      <c r="B32" s="16" t="s">
        <v>74</v>
      </c>
      <c r="C32" s="17">
        <v>40540</v>
      </c>
      <c r="D32" s="18">
        <v>42510</v>
      </c>
      <c r="E32" s="17">
        <v>1970</v>
      </c>
      <c r="F32" s="19">
        <v>4.8593981253083375E-2</v>
      </c>
      <c r="G32" s="20">
        <v>5.0000000000000001E-3</v>
      </c>
    </row>
    <row r="33" spans="1:7">
      <c r="A33" s="15" t="s">
        <v>75</v>
      </c>
      <c r="B33" s="16" t="s">
        <v>76</v>
      </c>
      <c r="C33" s="17">
        <v>9570</v>
      </c>
      <c r="D33" s="18">
        <v>10600</v>
      </c>
      <c r="E33" s="17">
        <v>1030</v>
      </c>
      <c r="F33" s="19">
        <v>0.10762800417972831</v>
      </c>
      <c r="G33" s="20">
        <v>0.01</v>
      </c>
    </row>
    <row r="34" spans="1:7">
      <c r="A34" s="15" t="s">
        <v>77</v>
      </c>
      <c r="B34" s="16" t="s">
        <v>78</v>
      </c>
      <c r="C34" s="17">
        <v>410</v>
      </c>
      <c r="D34" s="18">
        <v>360</v>
      </c>
      <c r="E34" s="17">
        <v>-50</v>
      </c>
      <c r="F34" s="19">
        <v>-0.12195121951219512</v>
      </c>
      <c r="G34" s="20">
        <v>-1.2999999999999999E-2</v>
      </c>
    </row>
    <row r="35" spans="1:7">
      <c r="A35" s="15" t="s">
        <v>79</v>
      </c>
      <c r="B35" s="16" t="s">
        <v>80</v>
      </c>
      <c r="C35" s="17">
        <v>2010</v>
      </c>
      <c r="D35" s="18">
        <v>1790</v>
      </c>
      <c r="E35" s="17">
        <v>-220</v>
      </c>
      <c r="F35" s="19">
        <v>-0.10945273631840796</v>
      </c>
      <c r="G35" s="20">
        <v>-1.2E-2</v>
      </c>
    </row>
    <row r="36" spans="1:7">
      <c r="A36" s="15" t="s">
        <v>81</v>
      </c>
      <c r="B36" s="16" t="s">
        <v>82</v>
      </c>
      <c r="C36" s="17">
        <v>1680</v>
      </c>
      <c r="D36" s="18">
        <v>1240</v>
      </c>
      <c r="E36" s="17">
        <v>-440</v>
      </c>
      <c r="F36" s="19">
        <v>-0.26190476190476192</v>
      </c>
      <c r="G36" s="20">
        <v>-0.03</v>
      </c>
    </row>
    <row r="37" spans="1:7">
      <c r="A37" s="15" t="s">
        <v>83</v>
      </c>
      <c r="B37" s="16" t="s">
        <v>84</v>
      </c>
      <c r="C37" s="17">
        <v>640</v>
      </c>
      <c r="D37" s="18">
        <v>570</v>
      </c>
      <c r="E37" s="17">
        <v>-70</v>
      </c>
      <c r="F37" s="19">
        <v>-0.109375</v>
      </c>
      <c r="G37" s="20">
        <v>-1.2E-2</v>
      </c>
    </row>
    <row r="38" spans="1:7">
      <c r="A38" s="15" t="s">
        <v>85</v>
      </c>
      <c r="B38" s="16" t="s">
        <v>86</v>
      </c>
      <c r="C38" s="17">
        <v>10370</v>
      </c>
      <c r="D38" s="18">
        <v>10260</v>
      </c>
      <c r="E38" s="17">
        <v>-110</v>
      </c>
      <c r="F38" s="19">
        <v>-1.0607521697203472E-2</v>
      </c>
      <c r="G38" s="20">
        <v>-1E-3</v>
      </c>
    </row>
    <row r="39" spans="1:7">
      <c r="A39" s="15" t="s">
        <v>87</v>
      </c>
      <c r="B39" s="16" t="s">
        <v>88</v>
      </c>
      <c r="C39" s="17">
        <v>12720</v>
      </c>
      <c r="D39" s="18">
        <v>11170</v>
      </c>
      <c r="E39" s="17">
        <v>-1550</v>
      </c>
      <c r="F39" s="19">
        <v>-0.12185534591194969</v>
      </c>
      <c r="G39" s="20">
        <v>-1.2999999999999999E-2</v>
      </c>
    </row>
    <row r="40" spans="1:7">
      <c r="A40" s="15" t="s">
        <v>89</v>
      </c>
      <c r="B40" s="16" t="s">
        <v>90</v>
      </c>
      <c r="C40" s="17">
        <v>12100</v>
      </c>
      <c r="D40" s="18">
        <v>10080</v>
      </c>
      <c r="E40" s="17">
        <v>-2020</v>
      </c>
      <c r="F40" s="19">
        <v>-0.16694214876033059</v>
      </c>
      <c r="G40" s="20">
        <v>-1.7999999999999999E-2</v>
      </c>
    </row>
    <row r="41" spans="1:7">
      <c r="A41" s="15" t="s">
        <v>91</v>
      </c>
      <c r="B41" s="16" t="s">
        <v>92</v>
      </c>
      <c r="C41" s="17">
        <v>1620</v>
      </c>
      <c r="D41" s="18">
        <v>1590</v>
      </c>
      <c r="E41" s="17">
        <v>-30</v>
      </c>
      <c r="F41" s="19">
        <v>-1.8518518518518517E-2</v>
      </c>
      <c r="G41" s="20">
        <v>-2E-3</v>
      </c>
    </row>
    <row r="42" spans="1:7">
      <c r="A42" s="15" t="s">
        <v>93</v>
      </c>
      <c r="B42" s="16" t="s">
        <v>94</v>
      </c>
      <c r="C42" s="17">
        <v>30240</v>
      </c>
      <c r="D42" s="18">
        <v>30650</v>
      </c>
      <c r="E42" s="17">
        <v>410</v>
      </c>
      <c r="F42" s="19">
        <v>1.4E-2</v>
      </c>
      <c r="G42" s="20">
        <v>1E-3</v>
      </c>
    </row>
    <row r="43" spans="1:7">
      <c r="A43" s="15" t="s">
        <v>95</v>
      </c>
      <c r="B43" s="16" t="s">
        <v>96</v>
      </c>
      <c r="C43" s="17">
        <v>39610</v>
      </c>
      <c r="D43" s="18">
        <v>38450</v>
      </c>
      <c r="E43" s="17">
        <v>-1160</v>
      </c>
      <c r="F43" s="19">
        <v>-2.92855339560717E-2</v>
      </c>
      <c r="G43" s="20">
        <v>-3.0000000000000001E-3</v>
      </c>
    </row>
    <row r="44" spans="1:7">
      <c r="A44" s="15" t="s">
        <v>97</v>
      </c>
      <c r="B44" s="16" t="s">
        <v>98</v>
      </c>
      <c r="C44" s="17">
        <v>11320</v>
      </c>
      <c r="D44" s="18">
        <v>10830</v>
      </c>
      <c r="E44" s="17">
        <v>-490</v>
      </c>
      <c r="F44" s="19">
        <v>-4.2999999999999997E-2</v>
      </c>
      <c r="G44" s="20">
        <v>-4.0000000000000001E-3</v>
      </c>
    </row>
    <row r="45" spans="1:7">
      <c r="A45" s="15" t="s">
        <v>99</v>
      </c>
      <c r="B45" s="16" t="s">
        <v>100</v>
      </c>
      <c r="C45" s="17">
        <v>18610</v>
      </c>
      <c r="D45" s="18">
        <v>17120</v>
      </c>
      <c r="E45" s="17">
        <v>-1490</v>
      </c>
      <c r="F45" s="19">
        <v>-0.08</v>
      </c>
      <c r="G45" s="20">
        <v>-8.0000000000000002E-3</v>
      </c>
    </row>
    <row r="46" spans="1:7">
      <c r="A46" s="15" t="s">
        <v>101</v>
      </c>
      <c r="B46" s="16" t="s">
        <v>102</v>
      </c>
      <c r="C46" s="17">
        <v>71330</v>
      </c>
      <c r="D46" s="18">
        <v>68250</v>
      </c>
      <c r="E46" s="17">
        <v>-3080</v>
      </c>
      <c r="F46" s="19">
        <v>-4.3179587831207067E-2</v>
      </c>
      <c r="G46" s="20">
        <v>-4.0000000000000001E-3</v>
      </c>
    </row>
    <row r="47" spans="1:7">
      <c r="A47" s="15" t="s">
        <v>103</v>
      </c>
      <c r="B47" s="16" t="s">
        <v>104</v>
      </c>
      <c r="C47" s="17">
        <v>68790</v>
      </c>
      <c r="D47" s="18">
        <v>66750</v>
      </c>
      <c r="E47" s="17">
        <v>-2040</v>
      </c>
      <c r="F47" s="19">
        <v>-2.9655473179241169E-2</v>
      </c>
      <c r="G47" s="20">
        <v>-3.0000000000000001E-3</v>
      </c>
    </row>
    <row r="48" spans="1:7">
      <c r="A48" s="15" t="s">
        <v>105</v>
      </c>
      <c r="B48" s="16" t="s">
        <v>106</v>
      </c>
      <c r="C48" s="17">
        <v>21070</v>
      </c>
      <c r="D48" s="18">
        <v>21650</v>
      </c>
      <c r="E48" s="17">
        <v>580</v>
      </c>
      <c r="F48" s="19">
        <v>2.7527289985761746E-2</v>
      </c>
      <c r="G48" s="20">
        <v>3.0000000000000001E-3</v>
      </c>
    </row>
    <row r="49" spans="1:7">
      <c r="A49" s="15" t="s">
        <v>107</v>
      </c>
      <c r="B49" s="16" t="s">
        <v>108</v>
      </c>
      <c r="C49" s="17">
        <v>13900</v>
      </c>
      <c r="D49" s="18">
        <v>15390</v>
      </c>
      <c r="E49" s="17">
        <v>1490</v>
      </c>
      <c r="F49" s="19">
        <v>0.10719424460431655</v>
      </c>
      <c r="G49" s="20">
        <v>0.01</v>
      </c>
    </row>
    <row r="50" spans="1:7">
      <c r="A50" s="15" t="s">
        <v>109</v>
      </c>
      <c r="B50" s="16" t="s">
        <v>110</v>
      </c>
      <c r="C50" s="17">
        <v>186660</v>
      </c>
      <c r="D50" s="18">
        <v>177180</v>
      </c>
      <c r="E50" s="17">
        <v>-9480</v>
      </c>
      <c r="F50" s="19">
        <v>-5.0999999999999997E-2</v>
      </c>
      <c r="G50" s="20">
        <v>-5.0000000000000001E-3</v>
      </c>
    </row>
    <row r="51" spans="1:7">
      <c r="A51" s="15" t="s">
        <v>111</v>
      </c>
      <c r="B51" s="16" t="s">
        <v>112</v>
      </c>
      <c r="C51" s="17">
        <v>20590</v>
      </c>
      <c r="D51" s="18">
        <v>18950</v>
      </c>
      <c r="E51" s="17">
        <v>-1640</v>
      </c>
      <c r="F51" s="19">
        <v>-7.9650315687226803E-2</v>
      </c>
      <c r="G51" s="20">
        <v>-8.0000000000000002E-3</v>
      </c>
    </row>
    <row r="52" spans="1:7">
      <c r="A52" s="15" t="s">
        <v>113</v>
      </c>
      <c r="B52" s="16" t="s">
        <v>114</v>
      </c>
      <c r="C52" s="17">
        <v>29650</v>
      </c>
      <c r="D52" s="18">
        <v>29790</v>
      </c>
      <c r="E52" s="17">
        <v>140</v>
      </c>
      <c r="F52" s="19">
        <v>5.0000000000000001E-3</v>
      </c>
      <c r="G52" s="20">
        <v>0</v>
      </c>
    </row>
    <row r="53" spans="1:7">
      <c r="A53" s="10" t="s">
        <v>115</v>
      </c>
      <c r="B53" s="10" t="s">
        <v>116</v>
      </c>
      <c r="C53" s="11">
        <v>3494180</v>
      </c>
      <c r="D53" s="27">
        <v>3543890</v>
      </c>
      <c r="E53" s="28">
        <v>49710</v>
      </c>
      <c r="F53" s="13">
        <v>1.4E-2</v>
      </c>
      <c r="G53" s="14">
        <v>1E-3</v>
      </c>
    </row>
    <row r="54" spans="1:7">
      <c r="A54" s="10" t="s">
        <v>117</v>
      </c>
      <c r="B54" s="10" t="s">
        <v>118</v>
      </c>
      <c r="C54" s="11">
        <v>802660</v>
      </c>
      <c r="D54" s="12">
        <v>781990</v>
      </c>
      <c r="E54" s="11">
        <v>-20670</v>
      </c>
      <c r="F54" s="13">
        <v>-2.5999999999999999E-2</v>
      </c>
      <c r="G54" s="14">
        <v>-3.0000000000000001E-3</v>
      </c>
    </row>
    <row r="55" spans="1:7">
      <c r="A55" s="21" t="s">
        <v>119</v>
      </c>
      <c r="B55" s="21" t="s">
        <v>120</v>
      </c>
      <c r="C55" s="22">
        <v>171120</v>
      </c>
      <c r="D55" s="23">
        <v>167640</v>
      </c>
      <c r="E55" s="22">
        <v>-3480</v>
      </c>
      <c r="F55" s="24">
        <v>-2.0336605890603085E-2</v>
      </c>
      <c r="G55" s="25">
        <v>-2E-3</v>
      </c>
    </row>
    <row r="56" spans="1:7">
      <c r="A56" s="29">
        <v>423000</v>
      </c>
      <c r="B56" s="16" t="s">
        <v>121</v>
      </c>
      <c r="C56" s="17">
        <v>105710</v>
      </c>
      <c r="D56" s="18">
        <v>103990</v>
      </c>
      <c r="E56" s="17">
        <v>-1720</v>
      </c>
      <c r="F56" s="19">
        <v>-1.6270929902563618E-2</v>
      </c>
      <c r="G56" s="20">
        <v>-2E-3</v>
      </c>
    </row>
    <row r="57" spans="1:7">
      <c r="A57" s="15" t="s">
        <v>122</v>
      </c>
      <c r="B57" s="16" t="s">
        <v>123</v>
      </c>
      <c r="C57" s="17">
        <v>50960</v>
      </c>
      <c r="D57" s="18">
        <v>50210</v>
      </c>
      <c r="E57" s="17">
        <v>-750</v>
      </c>
      <c r="F57" s="19">
        <v>-1.4717425431711145E-2</v>
      </c>
      <c r="G57" s="20">
        <v>-1E-3</v>
      </c>
    </row>
    <row r="58" spans="1:7">
      <c r="A58" s="15" t="s">
        <v>124</v>
      </c>
      <c r="B58" s="16" t="s">
        <v>125</v>
      </c>
      <c r="C58" s="17">
        <v>14450</v>
      </c>
      <c r="D58" s="18">
        <v>13440</v>
      </c>
      <c r="E58" s="17">
        <v>-1010</v>
      </c>
      <c r="F58" s="19">
        <v>-6.98961937716263E-2</v>
      </c>
      <c r="G58" s="20">
        <v>-7.0000000000000001E-3</v>
      </c>
    </row>
    <row r="59" spans="1:7">
      <c r="A59" s="21" t="s">
        <v>126</v>
      </c>
      <c r="B59" s="21" t="s">
        <v>127</v>
      </c>
      <c r="C59" s="22">
        <v>454460</v>
      </c>
      <c r="D59" s="23">
        <v>427060</v>
      </c>
      <c r="E59" s="22">
        <v>-27400</v>
      </c>
      <c r="F59" s="24">
        <v>-6.0291334770936934E-2</v>
      </c>
      <c r="G59" s="25">
        <v>-6.0000000000000001E-3</v>
      </c>
    </row>
    <row r="60" spans="1:7">
      <c r="A60" s="15" t="s">
        <v>128</v>
      </c>
      <c r="B60" s="16" t="s">
        <v>129</v>
      </c>
      <c r="C60" s="17">
        <v>62800</v>
      </c>
      <c r="D60" s="18">
        <v>62560</v>
      </c>
      <c r="E60" s="17">
        <v>-240</v>
      </c>
      <c r="F60" s="19">
        <v>-3.821656050955414E-3</v>
      </c>
      <c r="G60" s="20">
        <v>0</v>
      </c>
    </row>
    <row r="61" spans="1:7">
      <c r="A61" s="15" t="s">
        <v>130</v>
      </c>
      <c r="B61" s="16" t="s">
        <v>131</v>
      </c>
      <c r="C61" s="17">
        <v>48240</v>
      </c>
      <c r="D61" s="18">
        <v>48970</v>
      </c>
      <c r="E61" s="17">
        <v>730</v>
      </c>
      <c r="F61" s="19">
        <v>1.5132669983416253E-2</v>
      </c>
      <c r="G61" s="20">
        <v>2E-3</v>
      </c>
    </row>
    <row r="62" spans="1:7">
      <c r="A62" s="15" t="s">
        <v>132</v>
      </c>
      <c r="B62" s="16" t="s">
        <v>133</v>
      </c>
      <c r="C62" s="17">
        <v>76680</v>
      </c>
      <c r="D62" s="18">
        <v>69450</v>
      </c>
      <c r="E62" s="17">
        <v>-7230</v>
      </c>
      <c r="F62" s="19">
        <v>-9.4287949921752739E-2</v>
      </c>
      <c r="G62" s="20">
        <v>-0.01</v>
      </c>
    </row>
    <row r="63" spans="1:7">
      <c r="A63" s="29">
        <v>449000</v>
      </c>
      <c r="B63" s="30" t="s">
        <v>134</v>
      </c>
      <c r="C63" s="31">
        <v>22660</v>
      </c>
      <c r="D63" s="18">
        <v>18250</v>
      </c>
      <c r="E63" s="31">
        <v>-4410</v>
      </c>
      <c r="F63" s="19">
        <v>-0.19461606354810237</v>
      </c>
      <c r="G63" s="20">
        <v>-2.1000000000000001E-2</v>
      </c>
    </row>
    <row r="64" spans="1:7">
      <c r="A64" s="29">
        <v>455000</v>
      </c>
      <c r="B64" s="30" t="s">
        <v>135</v>
      </c>
      <c r="C64" s="31">
        <v>109960</v>
      </c>
      <c r="D64" s="18">
        <v>101470</v>
      </c>
      <c r="E64" s="31">
        <v>-8490</v>
      </c>
      <c r="F64" s="19">
        <v>-7.7209894507093493E-2</v>
      </c>
      <c r="G64" s="20">
        <v>-8.0000000000000002E-3</v>
      </c>
    </row>
    <row r="65" spans="1:7">
      <c r="A65" s="29">
        <v>456000</v>
      </c>
      <c r="B65" s="30" t="s">
        <v>136</v>
      </c>
      <c r="C65" s="31">
        <v>36560</v>
      </c>
      <c r="D65" s="18">
        <v>34980</v>
      </c>
      <c r="E65" s="31">
        <v>-1580</v>
      </c>
      <c r="F65" s="19">
        <v>-4.3216630196936542E-2</v>
      </c>
      <c r="G65" s="20">
        <v>-4.0000000000000001E-3</v>
      </c>
    </row>
    <row r="66" spans="1:7">
      <c r="A66" s="29">
        <v>457000</v>
      </c>
      <c r="B66" s="30" t="s">
        <v>137</v>
      </c>
      <c r="C66" s="31">
        <v>28350</v>
      </c>
      <c r="D66" s="18">
        <v>26580</v>
      </c>
      <c r="E66" s="31">
        <v>-1770</v>
      </c>
      <c r="F66" s="19">
        <v>-6.2433862433862432E-2</v>
      </c>
      <c r="G66" s="20">
        <v>-6.0000000000000001E-3</v>
      </c>
    </row>
    <row r="67" spans="1:7">
      <c r="A67" s="29">
        <v>458000</v>
      </c>
      <c r="B67" s="30" t="s">
        <v>138</v>
      </c>
      <c r="C67" s="31">
        <v>25320</v>
      </c>
      <c r="D67" s="18">
        <v>23830</v>
      </c>
      <c r="E67" s="31">
        <v>-1490</v>
      </c>
      <c r="F67" s="19">
        <v>-5.8846761453396526E-2</v>
      </c>
      <c r="G67" s="20">
        <v>-6.0000000000000001E-3</v>
      </c>
    </row>
    <row r="68" spans="1:7">
      <c r="A68" s="29">
        <v>459000</v>
      </c>
      <c r="B68" s="30" t="s">
        <v>139</v>
      </c>
      <c r="C68" s="31">
        <v>43890</v>
      </c>
      <c r="D68" s="18">
        <v>40970</v>
      </c>
      <c r="E68" s="31">
        <v>-2920</v>
      </c>
      <c r="F68" s="19">
        <v>-6.652996126680337E-2</v>
      </c>
      <c r="G68" s="20">
        <v>-7.0000000000000001E-3</v>
      </c>
    </row>
    <row r="69" spans="1:7">
      <c r="A69" s="21" t="s">
        <v>140</v>
      </c>
      <c r="B69" s="21" t="s">
        <v>141</v>
      </c>
      <c r="C69" s="22">
        <v>155710</v>
      </c>
      <c r="D69" s="23">
        <v>166840</v>
      </c>
      <c r="E69" s="22">
        <v>11130</v>
      </c>
      <c r="F69" s="24">
        <v>7.0999999999999994E-2</v>
      </c>
      <c r="G69" s="25">
        <v>7.0000000000000001E-3</v>
      </c>
    </row>
    <row r="70" spans="1:7">
      <c r="A70" s="15" t="s">
        <v>142</v>
      </c>
      <c r="B70" s="16" t="s">
        <v>143</v>
      </c>
      <c r="C70" s="17">
        <v>13220</v>
      </c>
      <c r="D70" s="18">
        <v>13280</v>
      </c>
      <c r="E70" s="17">
        <v>60</v>
      </c>
      <c r="F70" s="19">
        <v>4.5385779122541605E-3</v>
      </c>
      <c r="G70" s="20">
        <v>0</v>
      </c>
    </row>
    <row r="71" spans="1:7">
      <c r="A71" s="15" t="s">
        <v>144</v>
      </c>
      <c r="B71" s="16" t="s">
        <v>145</v>
      </c>
      <c r="C71" s="17">
        <v>2200</v>
      </c>
      <c r="D71" s="18">
        <v>2050</v>
      </c>
      <c r="E71" s="17">
        <v>-150</v>
      </c>
      <c r="F71" s="19">
        <v>-6.8181818181818177E-2</v>
      </c>
      <c r="G71" s="20">
        <v>-7.0000000000000001E-3</v>
      </c>
    </row>
    <row r="72" spans="1:7">
      <c r="A72" s="15" t="s">
        <v>146</v>
      </c>
      <c r="B72" s="16" t="s">
        <v>147</v>
      </c>
      <c r="C72" s="17">
        <v>880</v>
      </c>
      <c r="D72" s="18">
        <v>880</v>
      </c>
      <c r="E72" s="17">
        <v>0</v>
      </c>
      <c r="F72" s="19">
        <v>0</v>
      </c>
      <c r="G72" s="20">
        <v>0</v>
      </c>
    </row>
    <row r="73" spans="1:7">
      <c r="A73" s="15" t="s">
        <v>148</v>
      </c>
      <c r="B73" s="16" t="s">
        <v>149</v>
      </c>
      <c r="C73" s="17">
        <v>49200</v>
      </c>
      <c r="D73" s="18">
        <v>50230</v>
      </c>
      <c r="E73" s="17">
        <v>1030</v>
      </c>
      <c r="F73" s="19">
        <v>2.0934959349593496E-2</v>
      </c>
      <c r="G73" s="20">
        <v>2E-3</v>
      </c>
    </row>
    <row r="74" spans="1:7">
      <c r="A74" s="15" t="s">
        <v>150</v>
      </c>
      <c r="B74" s="16" t="s">
        <v>151</v>
      </c>
      <c r="C74" s="17">
        <v>8760</v>
      </c>
      <c r="D74" s="18">
        <v>9140</v>
      </c>
      <c r="E74" s="17">
        <v>380</v>
      </c>
      <c r="F74" s="19">
        <v>4.3378995433789952E-2</v>
      </c>
      <c r="G74" s="20">
        <v>4.0000000000000001E-3</v>
      </c>
    </row>
    <row r="75" spans="1:7">
      <c r="A75" s="15" t="s">
        <v>152</v>
      </c>
      <c r="B75" s="16" t="s">
        <v>153</v>
      </c>
      <c r="C75" s="17">
        <v>1370</v>
      </c>
      <c r="D75" s="18">
        <v>1300</v>
      </c>
      <c r="E75" s="17">
        <v>-70</v>
      </c>
      <c r="F75" s="19">
        <v>-5.1094890510948905E-2</v>
      </c>
      <c r="G75" s="20">
        <v>-5.0000000000000001E-3</v>
      </c>
    </row>
    <row r="76" spans="1:7">
      <c r="A76" s="15" t="s">
        <v>154</v>
      </c>
      <c r="B76" s="16" t="s">
        <v>155</v>
      </c>
      <c r="C76" s="17">
        <v>440</v>
      </c>
      <c r="D76" s="18">
        <v>460</v>
      </c>
      <c r="E76" s="17">
        <v>20</v>
      </c>
      <c r="F76" s="19">
        <v>4.5454545454545456E-2</v>
      </c>
      <c r="G76" s="20">
        <v>4.0000000000000001E-3</v>
      </c>
    </row>
    <row r="77" spans="1:7">
      <c r="A77" s="15" t="s">
        <v>156</v>
      </c>
      <c r="B77" s="16" t="s">
        <v>157</v>
      </c>
      <c r="C77" s="17">
        <v>17600</v>
      </c>
      <c r="D77" s="18">
        <v>18460</v>
      </c>
      <c r="E77" s="17">
        <v>860</v>
      </c>
      <c r="F77" s="19">
        <v>4.8863636363636366E-2</v>
      </c>
      <c r="G77" s="20">
        <v>5.0000000000000001E-3</v>
      </c>
    </row>
    <row r="78" spans="1:7">
      <c r="A78" s="15" t="s">
        <v>158</v>
      </c>
      <c r="B78" s="16" t="s">
        <v>159</v>
      </c>
      <c r="C78" s="17">
        <v>22070</v>
      </c>
      <c r="D78" s="18">
        <v>25990</v>
      </c>
      <c r="E78" s="17">
        <v>3920</v>
      </c>
      <c r="F78" s="19">
        <v>0.17799999999999999</v>
      </c>
      <c r="G78" s="20">
        <v>1.6E-2</v>
      </c>
    </row>
    <row r="79" spans="1:7">
      <c r="A79" s="15" t="s">
        <v>160</v>
      </c>
      <c r="B79" s="16" t="s">
        <v>161</v>
      </c>
      <c r="C79" s="17">
        <v>39970</v>
      </c>
      <c r="D79" s="18">
        <v>45050</v>
      </c>
      <c r="E79" s="17">
        <v>5080</v>
      </c>
      <c r="F79" s="19">
        <v>0.12709532149111835</v>
      </c>
      <c r="G79" s="20">
        <v>1.2E-2</v>
      </c>
    </row>
    <row r="80" spans="1:7">
      <c r="A80" s="21" t="s">
        <v>162</v>
      </c>
      <c r="B80" s="21" t="s">
        <v>163</v>
      </c>
      <c r="C80" s="22">
        <v>21370</v>
      </c>
      <c r="D80" s="23">
        <v>20450</v>
      </c>
      <c r="E80" s="22">
        <v>-920</v>
      </c>
      <c r="F80" s="24">
        <v>-4.3051006083294339E-2</v>
      </c>
      <c r="G80" s="25">
        <v>-4.0000000000000001E-3</v>
      </c>
    </row>
    <row r="81" spans="1:7">
      <c r="A81" s="15" t="s">
        <v>164</v>
      </c>
      <c r="B81" s="16" t="s">
        <v>163</v>
      </c>
      <c r="C81" s="17">
        <v>21370</v>
      </c>
      <c r="D81" s="18">
        <v>20450</v>
      </c>
      <c r="E81" s="17">
        <v>-920</v>
      </c>
      <c r="F81" s="19">
        <v>-4.3051006083294339E-2</v>
      </c>
      <c r="G81" s="20">
        <v>-4.0000000000000001E-3</v>
      </c>
    </row>
    <row r="82" spans="1:7">
      <c r="A82" s="10" t="s">
        <v>165</v>
      </c>
      <c r="B82" s="10" t="s">
        <v>166</v>
      </c>
      <c r="C82" s="11">
        <v>56460</v>
      </c>
      <c r="D82" s="12">
        <v>58960</v>
      </c>
      <c r="E82" s="11">
        <v>2500</v>
      </c>
      <c r="F82" s="13">
        <v>4.3999999999999997E-2</v>
      </c>
      <c r="G82" s="14">
        <v>4.0000000000000001E-3</v>
      </c>
    </row>
    <row r="83" spans="1:7">
      <c r="A83" s="21" t="s">
        <v>167</v>
      </c>
      <c r="B83" s="21" t="s">
        <v>166</v>
      </c>
      <c r="C83" s="22">
        <v>56460</v>
      </c>
      <c r="D83" s="23">
        <v>58960</v>
      </c>
      <c r="E83" s="22">
        <v>2500</v>
      </c>
      <c r="F83" s="24">
        <v>4.3999999999999997E-2</v>
      </c>
      <c r="G83" s="25">
        <v>4.0000000000000001E-3</v>
      </c>
    </row>
    <row r="84" spans="1:7">
      <c r="A84" s="15" t="s">
        <v>168</v>
      </c>
      <c r="B84" s="16" t="s">
        <v>169</v>
      </c>
      <c r="C84" s="17">
        <v>5140</v>
      </c>
      <c r="D84" s="18">
        <v>5060</v>
      </c>
      <c r="E84" s="17">
        <v>-80</v>
      </c>
      <c r="F84" s="19">
        <v>-1.6E-2</v>
      </c>
      <c r="G84" s="20">
        <v>-2E-3</v>
      </c>
    </row>
    <row r="85" spans="1:7">
      <c r="A85" s="29">
        <v>513000</v>
      </c>
      <c r="B85" s="16" t="s">
        <v>170</v>
      </c>
      <c r="C85" s="17">
        <v>14120</v>
      </c>
      <c r="D85" s="18">
        <v>14290</v>
      </c>
      <c r="E85" s="17">
        <v>170</v>
      </c>
      <c r="F85" s="19">
        <v>1.2E-2</v>
      </c>
      <c r="G85" s="20">
        <v>1E-3</v>
      </c>
    </row>
    <row r="86" spans="1:7">
      <c r="A86" s="29">
        <v>516000</v>
      </c>
      <c r="B86" s="16" t="s">
        <v>171</v>
      </c>
      <c r="C86" s="17">
        <v>4560</v>
      </c>
      <c r="D86" s="18">
        <v>4370</v>
      </c>
      <c r="E86" s="17">
        <v>-190</v>
      </c>
      <c r="F86" s="19">
        <v>-4.2000000000000003E-2</v>
      </c>
      <c r="G86" s="20">
        <v>-4.0000000000000001E-3</v>
      </c>
    </row>
    <row r="87" spans="1:7">
      <c r="A87" s="15" t="s">
        <v>172</v>
      </c>
      <c r="B87" s="16" t="s">
        <v>173</v>
      </c>
      <c r="C87" s="17">
        <v>15200</v>
      </c>
      <c r="D87" s="18">
        <v>14910</v>
      </c>
      <c r="E87" s="17">
        <v>-290</v>
      </c>
      <c r="F87" s="19">
        <v>-1.9078947368421053E-2</v>
      </c>
      <c r="G87" s="20">
        <v>-2E-3</v>
      </c>
    </row>
    <row r="88" spans="1:7">
      <c r="A88" s="15" t="s">
        <v>174</v>
      </c>
      <c r="B88" s="16" t="s">
        <v>175</v>
      </c>
      <c r="C88" s="17">
        <v>10070</v>
      </c>
      <c r="D88" s="18">
        <v>11480</v>
      </c>
      <c r="E88" s="17">
        <v>1410</v>
      </c>
      <c r="F88" s="19">
        <v>0.14001986097318769</v>
      </c>
      <c r="G88" s="20">
        <v>1.2999999999999999E-2</v>
      </c>
    </row>
    <row r="89" spans="1:7">
      <c r="A89" s="15" t="s">
        <v>176</v>
      </c>
      <c r="B89" s="16" t="s">
        <v>177</v>
      </c>
      <c r="C89" s="17">
        <v>7370</v>
      </c>
      <c r="D89" s="18">
        <v>8850</v>
      </c>
      <c r="E89" s="17">
        <v>1480</v>
      </c>
      <c r="F89" s="19">
        <v>0.20081411126187246</v>
      </c>
      <c r="G89" s="20">
        <v>1.7999999999999999E-2</v>
      </c>
    </row>
    <row r="90" spans="1:7">
      <c r="A90" s="10" t="s">
        <v>178</v>
      </c>
      <c r="B90" s="10" t="s">
        <v>179</v>
      </c>
      <c r="C90" s="11">
        <v>215130</v>
      </c>
      <c r="D90" s="12">
        <v>221750</v>
      </c>
      <c r="E90" s="11">
        <v>6620</v>
      </c>
      <c r="F90" s="13">
        <v>3.1E-2</v>
      </c>
      <c r="G90" s="14">
        <v>3.0000000000000001E-3</v>
      </c>
    </row>
    <row r="91" spans="1:7">
      <c r="A91" s="21" t="s">
        <v>180</v>
      </c>
      <c r="B91" s="21" t="s">
        <v>181</v>
      </c>
      <c r="C91" s="22">
        <v>158760</v>
      </c>
      <c r="D91" s="23">
        <v>163440</v>
      </c>
      <c r="E91" s="22">
        <v>4680</v>
      </c>
      <c r="F91" s="24">
        <v>2.9478458049886622E-2</v>
      </c>
      <c r="G91" s="25">
        <v>3.0000000000000001E-3</v>
      </c>
    </row>
    <row r="92" spans="1:7">
      <c r="A92" s="15" t="s">
        <v>182</v>
      </c>
      <c r="B92" s="16" t="s">
        <v>183</v>
      </c>
      <c r="C92" s="17">
        <v>320</v>
      </c>
      <c r="D92" s="18">
        <v>300</v>
      </c>
      <c r="E92" s="17">
        <v>-20</v>
      </c>
      <c r="F92" s="19">
        <v>-6.25E-2</v>
      </c>
      <c r="G92" s="20">
        <v>-6.0000000000000001E-3</v>
      </c>
    </row>
    <row r="93" spans="1:7">
      <c r="A93" s="15" t="s">
        <v>184</v>
      </c>
      <c r="B93" s="16" t="s">
        <v>185</v>
      </c>
      <c r="C93" s="17">
        <v>80280</v>
      </c>
      <c r="D93" s="18">
        <v>80650</v>
      </c>
      <c r="E93" s="17">
        <v>370</v>
      </c>
      <c r="F93" s="19">
        <v>4.6088689586447438E-3</v>
      </c>
      <c r="G93" s="20">
        <v>0</v>
      </c>
    </row>
    <row r="94" spans="1:7">
      <c r="A94" s="15" t="s">
        <v>186</v>
      </c>
      <c r="B94" s="16" t="s">
        <v>187</v>
      </c>
      <c r="C94" s="17">
        <v>14190</v>
      </c>
      <c r="D94" s="18">
        <v>15160</v>
      </c>
      <c r="E94" s="17">
        <v>970</v>
      </c>
      <c r="F94" s="19">
        <v>6.8357998590556732E-2</v>
      </c>
      <c r="G94" s="20">
        <v>7.0000000000000001E-3</v>
      </c>
    </row>
    <row r="95" spans="1:7">
      <c r="A95" s="15" t="s">
        <v>188</v>
      </c>
      <c r="B95" s="16" t="s">
        <v>189</v>
      </c>
      <c r="C95" s="17">
        <v>63060</v>
      </c>
      <c r="D95" s="18">
        <v>66360</v>
      </c>
      <c r="E95" s="17">
        <v>3300</v>
      </c>
      <c r="F95" s="19">
        <v>5.2331113225499527E-2</v>
      </c>
      <c r="G95" s="20">
        <v>5.0000000000000001E-3</v>
      </c>
    </row>
    <row r="96" spans="1:7">
      <c r="A96" s="15" t="s">
        <v>190</v>
      </c>
      <c r="B96" s="16" t="s">
        <v>191</v>
      </c>
      <c r="C96" s="17">
        <v>910</v>
      </c>
      <c r="D96" s="18">
        <v>970</v>
      </c>
      <c r="E96" s="17">
        <v>60</v>
      </c>
      <c r="F96" s="19">
        <v>6.5934065934065936E-2</v>
      </c>
      <c r="G96" s="20">
        <v>6.0000000000000001E-3</v>
      </c>
    </row>
    <row r="97" spans="1:7">
      <c r="A97" s="21" t="s">
        <v>192</v>
      </c>
      <c r="B97" s="21" t="s">
        <v>193</v>
      </c>
      <c r="C97" s="22">
        <v>56370</v>
      </c>
      <c r="D97" s="23">
        <v>58310</v>
      </c>
      <c r="E97" s="22">
        <v>1940</v>
      </c>
      <c r="F97" s="24">
        <v>3.4000000000000002E-2</v>
      </c>
      <c r="G97" s="25">
        <v>3.0000000000000001E-3</v>
      </c>
    </row>
    <row r="98" spans="1:7">
      <c r="A98" s="15" t="s">
        <v>194</v>
      </c>
      <c r="B98" s="16" t="s">
        <v>195</v>
      </c>
      <c r="C98" s="17">
        <v>42900</v>
      </c>
      <c r="D98" s="18">
        <v>45420</v>
      </c>
      <c r="E98" s="17">
        <v>2520</v>
      </c>
      <c r="F98" s="19">
        <v>5.8741258741258739E-2</v>
      </c>
      <c r="G98" s="20">
        <v>6.0000000000000001E-3</v>
      </c>
    </row>
    <row r="99" spans="1:7">
      <c r="A99" s="15" t="s">
        <v>196</v>
      </c>
      <c r="B99" s="16" t="s">
        <v>197</v>
      </c>
      <c r="C99" s="17">
        <v>12700</v>
      </c>
      <c r="D99" s="18">
        <v>12150</v>
      </c>
      <c r="E99" s="17">
        <v>-550</v>
      </c>
      <c r="F99" s="19">
        <v>-4.3307086614173228E-2</v>
      </c>
      <c r="G99" s="20">
        <v>-4.0000000000000001E-3</v>
      </c>
    </row>
    <row r="100" spans="1:7">
      <c r="A100" s="15" t="s">
        <v>198</v>
      </c>
      <c r="B100" s="16" t="s">
        <v>199</v>
      </c>
      <c r="C100" s="17">
        <v>770</v>
      </c>
      <c r="D100" s="18">
        <v>740</v>
      </c>
      <c r="E100" s="17">
        <v>-30</v>
      </c>
      <c r="F100" s="19">
        <v>-3.9E-2</v>
      </c>
      <c r="G100" s="20">
        <v>-4.0000000000000001E-3</v>
      </c>
    </row>
    <row r="101" spans="1:7">
      <c r="A101" s="10" t="s">
        <v>200</v>
      </c>
      <c r="B101" s="10" t="s">
        <v>201</v>
      </c>
      <c r="C101" s="11">
        <v>660330</v>
      </c>
      <c r="D101" s="12">
        <v>680280</v>
      </c>
      <c r="E101" s="11">
        <v>19950</v>
      </c>
      <c r="F101" s="13">
        <v>0.03</v>
      </c>
      <c r="G101" s="14">
        <v>3.0000000000000001E-3</v>
      </c>
    </row>
    <row r="102" spans="1:7">
      <c r="A102" s="21" t="s">
        <v>202</v>
      </c>
      <c r="B102" s="21" t="s">
        <v>203</v>
      </c>
      <c r="C102" s="22">
        <v>314510</v>
      </c>
      <c r="D102" s="23">
        <v>334410</v>
      </c>
      <c r="E102" s="22">
        <v>19900</v>
      </c>
      <c r="F102" s="24">
        <v>6.3E-2</v>
      </c>
      <c r="G102" s="25">
        <v>6.0000000000000001E-3</v>
      </c>
    </row>
    <row r="103" spans="1:7">
      <c r="A103" s="15" t="s">
        <v>204</v>
      </c>
      <c r="B103" s="16" t="s">
        <v>203</v>
      </c>
      <c r="C103" s="17">
        <v>314510</v>
      </c>
      <c r="D103" s="18">
        <v>334410</v>
      </c>
      <c r="E103" s="17">
        <v>19900</v>
      </c>
      <c r="F103" s="19">
        <v>6.3E-2</v>
      </c>
      <c r="G103" s="20">
        <v>6.0000000000000001E-3</v>
      </c>
    </row>
    <row r="104" spans="1:7">
      <c r="A104" s="15" t="s">
        <v>205</v>
      </c>
      <c r="B104" s="26" t="s">
        <v>206</v>
      </c>
      <c r="C104" s="17">
        <v>27220</v>
      </c>
      <c r="D104" s="18">
        <v>26740</v>
      </c>
      <c r="E104" s="17">
        <v>-480</v>
      </c>
      <c r="F104" s="19">
        <v>-1.7999999999999999E-2</v>
      </c>
      <c r="G104" s="20">
        <v>-2E-3</v>
      </c>
    </row>
    <row r="105" spans="1:7">
      <c r="A105" s="15" t="s">
        <v>207</v>
      </c>
      <c r="B105" s="26" t="s">
        <v>208</v>
      </c>
      <c r="C105" s="17">
        <v>28580</v>
      </c>
      <c r="D105" s="18">
        <v>27480</v>
      </c>
      <c r="E105" s="17">
        <v>-1100</v>
      </c>
      <c r="F105" s="19">
        <v>-3.7999999999999999E-2</v>
      </c>
      <c r="G105" s="20">
        <v>-4.0000000000000001E-3</v>
      </c>
    </row>
    <row r="106" spans="1:7">
      <c r="A106" s="15" t="s">
        <v>209</v>
      </c>
      <c r="B106" s="26" t="s">
        <v>210</v>
      </c>
      <c r="C106" s="17">
        <v>88550</v>
      </c>
      <c r="D106" s="18">
        <v>91380</v>
      </c>
      <c r="E106" s="17">
        <v>2830</v>
      </c>
      <c r="F106" s="19">
        <v>3.2000000000000001E-2</v>
      </c>
      <c r="G106" s="20">
        <v>3.0000000000000001E-3</v>
      </c>
    </row>
    <row r="107" spans="1:7">
      <c r="A107" s="15" t="s">
        <v>211</v>
      </c>
      <c r="B107" s="26" t="s">
        <v>212</v>
      </c>
      <c r="C107" s="17">
        <v>8720</v>
      </c>
      <c r="D107" s="18">
        <v>10320</v>
      </c>
      <c r="E107" s="17">
        <v>1600</v>
      </c>
      <c r="F107" s="19">
        <v>0.183</v>
      </c>
      <c r="G107" s="20">
        <v>1.7000000000000001E-2</v>
      </c>
    </row>
    <row r="108" spans="1:7">
      <c r="A108" s="15" t="s">
        <v>213</v>
      </c>
      <c r="B108" s="26" t="s">
        <v>214</v>
      </c>
      <c r="C108" s="17">
        <v>48970</v>
      </c>
      <c r="D108" s="18">
        <v>54290</v>
      </c>
      <c r="E108" s="17">
        <v>5320</v>
      </c>
      <c r="F108" s="19">
        <v>0.109</v>
      </c>
      <c r="G108" s="20">
        <v>0.01</v>
      </c>
    </row>
    <row r="109" spans="1:7">
      <c r="A109" s="15" t="s">
        <v>215</v>
      </c>
      <c r="B109" s="26" t="s">
        <v>216</v>
      </c>
      <c r="C109" s="17">
        <v>38260</v>
      </c>
      <c r="D109" s="18">
        <v>42190</v>
      </c>
      <c r="E109" s="17">
        <v>3930</v>
      </c>
      <c r="F109" s="19">
        <v>0.10299999999999999</v>
      </c>
      <c r="G109" s="20">
        <v>0.01</v>
      </c>
    </row>
    <row r="110" spans="1:7">
      <c r="A110" s="15" t="s">
        <v>217</v>
      </c>
      <c r="B110" s="26" t="s">
        <v>218</v>
      </c>
      <c r="C110" s="17">
        <v>25130</v>
      </c>
      <c r="D110" s="18">
        <v>26990</v>
      </c>
      <c r="E110" s="17">
        <v>1860</v>
      </c>
      <c r="F110" s="19">
        <v>7.3999999999999996E-2</v>
      </c>
      <c r="G110" s="20">
        <v>7.0000000000000001E-3</v>
      </c>
    </row>
    <row r="111" spans="1:7">
      <c r="A111" s="15" t="s">
        <v>219</v>
      </c>
      <c r="B111" s="26" t="s">
        <v>220</v>
      </c>
      <c r="C111" s="17">
        <v>12460</v>
      </c>
      <c r="D111" s="18">
        <v>13410</v>
      </c>
      <c r="E111" s="17">
        <v>950</v>
      </c>
      <c r="F111" s="19">
        <v>7.5999999999999998E-2</v>
      </c>
      <c r="G111" s="20">
        <v>7.0000000000000001E-3</v>
      </c>
    </row>
    <row r="112" spans="1:7">
      <c r="A112" s="15" t="s">
        <v>221</v>
      </c>
      <c r="B112" s="26" t="s">
        <v>222</v>
      </c>
      <c r="C112" s="17">
        <v>36620</v>
      </c>
      <c r="D112" s="18">
        <v>41610</v>
      </c>
      <c r="E112" s="17">
        <v>4990</v>
      </c>
      <c r="F112" s="19">
        <v>0.13626433642818131</v>
      </c>
      <c r="G112" s="20">
        <v>1.2999999999999999E-2</v>
      </c>
    </row>
    <row r="113" spans="1:7">
      <c r="A113" s="21" t="s">
        <v>223</v>
      </c>
      <c r="B113" s="21" t="s">
        <v>224</v>
      </c>
      <c r="C113" s="22">
        <v>72590</v>
      </c>
      <c r="D113" s="23">
        <v>79300</v>
      </c>
      <c r="E113" s="22">
        <v>6710</v>
      </c>
      <c r="F113" s="24">
        <v>9.1999999999999998E-2</v>
      </c>
      <c r="G113" s="25">
        <v>8.9999999999999993E-3</v>
      </c>
    </row>
    <row r="114" spans="1:7">
      <c r="A114" s="15" t="s">
        <v>225</v>
      </c>
      <c r="B114" s="16" t="s">
        <v>224</v>
      </c>
      <c r="C114" s="17">
        <v>72590</v>
      </c>
      <c r="D114" s="18">
        <v>79300</v>
      </c>
      <c r="E114" s="17">
        <v>6710</v>
      </c>
      <c r="F114" s="19">
        <v>9.1999999999999998E-2</v>
      </c>
      <c r="G114" s="20">
        <v>8.9999999999999993E-3</v>
      </c>
    </row>
    <row r="115" spans="1:7">
      <c r="A115" s="21" t="s">
        <v>226</v>
      </c>
      <c r="B115" s="21" t="s">
        <v>227</v>
      </c>
      <c r="C115" s="22">
        <v>273230</v>
      </c>
      <c r="D115" s="23">
        <v>266570</v>
      </c>
      <c r="E115" s="22">
        <v>-6660</v>
      </c>
      <c r="F115" s="24">
        <v>-2.4E-2</v>
      </c>
      <c r="G115" s="25">
        <v>-2E-3</v>
      </c>
    </row>
    <row r="116" spans="1:7">
      <c r="A116" s="15" t="s">
        <v>228</v>
      </c>
      <c r="B116" s="16" t="s">
        <v>229</v>
      </c>
      <c r="C116" s="17">
        <v>259600</v>
      </c>
      <c r="D116" s="18">
        <v>252310</v>
      </c>
      <c r="E116" s="17">
        <v>-7290</v>
      </c>
      <c r="F116" s="19">
        <v>-2.8081664098613252E-2</v>
      </c>
      <c r="G116" s="20">
        <v>-3.0000000000000001E-3</v>
      </c>
    </row>
    <row r="117" spans="1:7">
      <c r="A117" s="15" t="s">
        <v>230</v>
      </c>
      <c r="B117" s="16" t="s">
        <v>231</v>
      </c>
      <c r="C117" s="17">
        <v>13630</v>
      </c>
      <c r="D117" s="18">
        <v>14260</v>
      </c>
      <c r="E117" s="17">
        <v>630</v>
      </c>
      <c r="F117" s="19">
        <v>4.5999999999999999E-2</v>
      </c>
      <c r="G117" s="20">
        <v>5.0000000000000001E-3</v>
      </c>
    </row>
    <row r="118" spans="1:7">
      <c r="A118" s="10" t="s">
        <v>232</v>
      </c>
      <c r="B118" s="10" t="s">
        <v>233</v>
      </c>
      <c r="C118" s="11">
        <v>984170</v>
      </c>
      <c r="D118" s="12">
        <v>1034170</v>
      </c>
      <c r="E118" s="11">
        <v>50000</v>
      </c>
      <c r="F118" s="13">
        <v>5.0999999999999997E-2</v>
      </c>
      <c r="G118" s="14">
        <v>5.0000000000000001E-3</v>
      </c>
    </row>
    <row r="119" spans="1:7">
      <c r="A119" s="21" t="s">
        <v>234</v>
      </c>
      <c r="B119" s="21" t="s">
        <v>235</v>
      </c>
      <c r="C119" s="22">
        <v>364570</v>
      </c>
      <c r="D119" s="23">
        <v>367950</v>
      </c>
      <c r="E119" s="22">
        <v>3380</v>
      </c>
      <c r="F119" s="24">
        <v>8.9999999999999993E-3</v>
      </c>
      <c r="G119" s="25">
        <v>1E-3</v>
      </c>
    </row>
    <row r="120" spans="1:7">
      <c r="A120" s="15" t="s">
        <v>236</v>
      </c>
      <c r="B120" s="16" t="s">
        <v>235</v>
      </c>
      <c r="C120" s="17">
        <v>364570</v>
      </c>
      <c r="D120" s="18">
        <v>367950</v>
      </c>
      <c r="E120" s="17">
        <v>3380</v>
      </c>
      <c r="F120" s="19">
        <v>8.9999999999999993E-3</v>
      </c>
      <c r="G120" s="20">
        <v>1E-3</v>
      </c>
    </row>
    <row r="121" spans="1:7">
      <c r="A121" s="15" t="s">
        <v>237</v>
      </c>
      <c r="B121" s="26" t="s">
        <v>238</v>
      </c>
      <c r="C121" s="17">
        <v>192190</v>
      </c>
      <c r="D121" s="18">
        <v>190310</v>
      </c>
      <c r="E121" s="17">
        <v>-1880</v>
      </c>
      <c r="F121" s="19">
        <v>-0.01</v>
      </c>
      <c r="G121" s="20">
        <v>-1E-3</v>
      </c>
    </row>
    <row r="122" spans="1:7">
      <c r="A122" s="15" t="s">
        <v>239</v>
      </c>
      <c r="B122" s="26" t="s">
        <v>240</v>
      </c>
      <c r="C122" s="17">
        <v>17790</v>
      </c>
      <c r="D122" s="18">
        <v>17170</v>
      </c>
      <c r="E122" s="17">
        <v>-620</v>
      </c>
      <c r="F122" s="19">
        <v>-3.4851039910061832E-2</v>
      </c>
      <c r="G122" s="20">
        <v>-4.0000000000000001E-3</v>
      </c>
    </row>
    <row r="123" spans="1:7">
      <c r="A123" s="15" t="s">
        <v>241</v>
      </c>
      <c r="B123" s="32" t="s">
        <v>242</v>
      </c>
      <c r="C123" s="31">
        <v>132410</v>
      </c>
      <c r="D123" s="18">
        <v>137740</v>
      </c>
      <c r="E123" s="31">
        <v>5330</v>
      </c>
      <c r="F123" s="19">
        <v>4.025375726908844E-2</v>
      </c>
      <c r="G123" s="20">
        <v>4.0000000000000001E-3</v>
      </c>
    </row>
    <row r="124" spans="1:7">
      <c r="A124" s="15" t="s">
        <v>243</v>
      </c>
      <c r="B124" s="32" t="s">
        <v>244</v>
      </c>
      <c r="C124" s="31">
        <v>1600</v>
      </c>
      <c r="D124" s="18">
        <v>1530</v>
      </c>
      <c r="E124" s="31">
        <v>-70</v>
      </c>
      <c r="F124" s="19">
        <v>-4.3999999999999997E-2</v>
      </c>
      <c r="G124" s="20">
        <v>-4.0000000000000001E-3</v>
      </c>
    </row>
    <row r="125" spans="1:7">
      <c r="A125" s="15" t="s">
        <v>245</v>
      </c>
      <c r="B125" s="32" t="s">
        <v>246</v>
      </c>
      <c r="C125" s="31">
        <v>2290</v>
      </c>
      <c r="D125" s="18">
        <v>2190</v>
      </c>
      <c r="E125" s="31">
        <v>-100</v>
      </c>
      <c r="F125" s="19">
        <v>-4.3668122270742356E-2</v>
      </c>
      <c r="G125" s="20">
        <v>-4.0000000000000001E-3</v>
      </c>
    </row>
    <row r="126" spans="1:7">
      <c r="A126" s="15" t="s">
        <v>247</v>
      </c>
      <c r="B126" s="32" t="s">
        <v>248</v>
      </c>
      <c r="C126" s="31">
        <v>10870</v>
      </c>
      <c r="D126" s="18">
        <v>11160</v>
      </c>
      <c r="E126" s="31">
        <v>290</v>
      </c>
      <c r="F126" s="19">
        <v>2.6678932842686291E-2</v>
      </c>
      <c r="G126" s="20">
        <v>3.0000000000000001E-3</v>
      </c>
    </row>
    <row r="127" spans="1:7">
      <c r="A127" s="15" t="s">
        <v>249</v>
      </c>
      <c r="B127" s="32" t="s">
        <v>250</v>
      </c>
      <c r="C127" s="31">
        <v>7420</v>
      </c>
      <c r="D127" s="18">
        <v>7850</v>
      </c>
      <c r="E127" s="31">
        <v>430</v>
      </c>
      <c r="F127" s="19">
        <v>5.7951482479784364E-2</v>
      </c>
      <c r="G127" s="20">
        <v>6.0000000000000001E-3</v>
      </c>
    </row>
    <row r="128" spans="1:7">
      <c r="A128" s="21" t="s">
        <v>251</v>
      </c>
      <c r="B128" s="21" t="s">
        <v>252</v>
      </c>
      <c r="C128" s="22">
        <v>619600</v>
      </c>
      <c r="D128" s="23">
        <v>666220</v>
      </c>
      <c r="E128" s="22">
        <v>46620</v>
      </c>
      <c r="F128" s="24">
        <v>7.4999999999999997E-2</v>
      </c>
      <c r="G128" s="25">
        <v>7.0000000000000001E-3</v>
      </c>
    </row>
    <row r="129" spans="1:7">
      <c r="A129" s="15" t="s">
        <v>253</v>
      </c>
      <c r="B129" s="33" t="s">
        <v>254</v>
      </c>
      <c r="C129" s="31">
        <v>210050</v>
      </c>
      <c r="D129" s="18">
        <v>237480</v>
      </c>
      <c r="E129" s="31">
        <v>27430</v>
      </c>
      <c r="F129" s="19">
        <v>0.13100000000000001</v>
      </c>
      <c r="G129" s="20">
        <v>1.2E-2</v>
      </c>
    </row>
    <row r="130" spans="1:7">
      <c r="A130" s="15" t="s">
        <v>255</v>
      </c>
      <c r="B130" s="33" t="s">
        <v>256</v>
      </c>
      <c r="C130" s="31">
        <v>240360</v>
      </c>
      <c r="D130" s="18">
        <v>244870</v>
      </c>
      <c r="E130" s="31">
        <v>4510</v>
      </c>
      <c r="F130" s="19">
        <v>1.8763521384589782E-2</v>
      </c>
      <c r="G130" s="20">
        <v>2E-3</v>
      </c>
    </row>
    <row r="131" spans="1:7">
      <c r="A131" s="15" t="s">
        <v>257</v>
      </c>
      <c r="B131" s="33" t="s">
        <v>258</v>
      </c>
      <c r="C131" s="31">
        <v>90230</v>
      </c>
      <c r="D131" s="18">
        <v>93100</v>
      </c>
      <c r="E131" s="31">
        <v>2870</v>
      </c>
      <c r="F131" s="19">
        <v>3.1807602792862683E-2</v>
      </c>
      <c r="G131" s="20">
        <v>3.0000000000000001E-3</v>
      </c>
    </row>
    <row r="132" spans="1:7">
      <c r="A132" s="15" t="s">
        <v>259</v>
      </c>
      <c r="B132" s="33" t="s">
        <v>260</v>
      </c>
      <c r="C132" s="31">
        <v>78960</v>
      </c>
      <c r="D132" s="18">
        <v>90770</v>
      </c>
      <c r="E132" s="31">
        <v>11810</v>
      </c>
      <c r="F132" s="19">
        <v>0.14956940222897669</v>
      </c>
      <c r="G132" s="20">
        <v>1.4E-2</v>
      </c>
    </row>
    <row r="133" spans="1:7">
      <c r="A133" s="10" t="s">
        <v>261</v>
      </c>
      <c r="B133" s="10" t="s">
        <v>262</v>
      </c>
      <c r="C133" s="11">
        <v>401470</v>
      </c>
      <c r="D133" s="12">
        <v>406530</v>
      </c>
      <c r="E133" s="11">
        <v>5060</v>
      </c>
      <c r="F133" s="13">
        <v>1.2999999999999999E-2</v>
      </c>
      <c r="G133" s="14">
        <v>1E-3</v>
      </c>
    </row>
    <row r="134" spans="1:7">
      <c r="A134" s="21" t="s">
        <v>263</v>
      </c>
      <c r="B134" s="21" t="s">
        <v>264</v>
      </c>
      <c r="C134" s="22">
        <v>50370</v>
      </c>
      <c r="D134" s="23">
        <v>49760</v>
      </c>
      <c r="E134" s="22">
        <v>-610</v>
      </c>
      <c r="F134" s="24">
        <v>-1.2E-2</v>
      </c>
      <c r="G134" s="25">
        <v>-1E-3</v>
      </c>
    </row>
    <row r="135" spans="1:7">
      <c r="A135" s="15" t="s">
        <v>265</v>
      </c>
      <c r="B135" s="33" t="s">
        <v>266</v>
      </c>
      <c r="C135" s="31">
        <v>9220</v>
      </c>
      <c r="D135" s="18">
        <v>8980</v>
      </c>
      <c r="E135" s="31">
        <v>-240</v>
      </c>
      <c r="F135" s="19">
        <v>-2.5999999999999999E-2</v>
      </c>
      <c r="G135" s="20">
        <v>-3.0000000000000001E-3</v>
      </c>
    </row>
    <row r="136" spans="1:7">
      <c r="A136" s="15" t="s">
        <v>267</v>
      </c>
      <c r="B136" s="33" t="s">
        <v>268</v>
      </c>
      <c r="C136" s="31">
        <v>4060</v>
      </c>
      <c r="D136" s="18">
        <v>4290</v>
      </c>
      <c r="E136" s="31">
        <v>230</v>
      </c>
      <c r="F136" s="19">
        <v>5.6650246305418719E-2</v>
      </c>
      <c r="G136" s="20">
        <v>6.0000000000000001E-3</v>
      </c>
    </row>
    <row r="137" spans="1:7">
      <c r="A137" s="15" t="s">
        <v>269</v>
      </c>
      <c r="B137" s="33" t="s">
        <v>270</v>
      </c>
      <c r="C137" s="31">
        <v>37090</v>
      </c>
      <c r="D137" s="18">
        <v>36490</v>
      </c>
      <c r="E137" s="31">
        <v>-600</v>
      </c>
      <c r="F137" s="19">
        <v>-1.6E-2</v>
      </c>
      <c r="G137" s="20">
        <v>-2E-3</v>
      </c>
    </row>
    <row r="138" spans="1:7">
      <c r="A138" s="21" t="s">
        <v>271</v>
      </c>
      <c r="B138" s="21" t="s">
        <v>272</v>
      </c>
      <c r="C138" s="22">
        <v>351100</v>
      </c>
      <c r="D138" s="23">
        <v>356770</v>
      </c>
      <c r="E138" s="22">
        <v>5670</v>
      </c>
      <c r="F138" s="24">
        <v>1.6E-2</v>
      </c>
      <c r="G138" s="25">
        <v>2E-3</v>
      </c>
    </row>
    <row r="139" spans="1:7">
      <c r="A139" s="15" t="s">
        <v>273</v>
      </c>
      <c r="B139" s="33" t="s">
        <v>274</v>
      </c>
      <c r="C139" s="31">
        <v>37880</v>
      </c>
      <c r="D139" s="18">
        <v>38710</v>
      </c>
      <c r="E139" s="31">
        <v>830</v>
      </c>
      <c r="F139" s="19">
        <v>2.191129883843717E-2</v>
      </c>
      <c r="G139" s="20">
        <v>2E-3</v>
      </c>
    </row>
    <row r="140" spans="1:7">
      <c r="A140" s="15" t="s">
        <v>275</v>
      </c>
      <c r="B140" s="33" t="s">
        <v>276</v>
      </c>
      <c r="C140" s="31">
        <v>313220</v>
      </c>
      <c r="D140" s="18">
        <v>318060</v>
      </c>
      <c r="E140" s="31">
        <v>4840</v>
      </c>
      <c r="F140" s="19">
        <v>1.4999999999999999E-2</v>
      </c>
      <c r="G140" s="20">
        <v>2E-3</v>
      </c>
    </row>
    <row r="141" spans="1:7">
      <c r="A141" s="10" t="s">
        <v>277</v>
      </c>
      <c r="B141" s="10" t="s">
        <v>278</v>
      </c>
      <c r="C141" s="11">
        <v>130170</v>
      </c>
      <c r="D141" s="12">
        <v>127070</v>
      </c>
      <c r="E141" s="11">
        <v>-3100</v>
      </c>
      <c r="F141" s="13">
        <v>-2.4E-2</v>
      </c>
      <c r="G141" s="14">
        <v>-2E-3</v>
      </c>
    </row>
    <row r="142" spans="1:7">
      <c r="A142" s="21" t="s">
        <v>279</v>
      </c>
      <c r="B142" s="21" t="s">
        <v>278</v>
      </c>
      <c r="C142" s="22">
        <v>130170</v>
      </c>
      <c r="D142" s="23">
        <v>127070</v>
      </c>
      <c r="E142" s="22">
        <v>-3100</v>
      </c>
      <c r="F142" s="24">
        <v>-2.4E-2</v>
      </c>
      <c r="G142" s="25">
        <v>-2E-3</v>
      </c>
    </row>
    <row r="143" spans="1:7">
      <c r="A143" s="15" t="s">
        <v>280</v>
      </c>
      <c r="B143" s="33" t="s">
        <v>281</v>
      </c>
      <c r="C143" s="31">
        <v>43860</v>
      </c>
      <c r="D143" s="18">
        <v>43250</v>
      </c>
      <c r="E143" s="31">
        <v>-610</v>
      </c>
      <c r="F143" s="19">
        <v>-1.4E-2</v>
      </c>
      <c r="G143" s="20">
        <v>-1E-3</v>
      </c>
    </row>
    <row r="144" spans="1:7">
      <c r="A144" s="15" t="s">
        <v>282</v>
      </c>
      <c r="B144" s="33" t="s">
        <v>283</v>
      </c>
      <c r="C144" s="31">
        <v>39560</v>
      </c>
      <c r="D144" s="18">
        <v>38880</v>
      </c>
      <c r="E144" s="31">
        <v>-680</v>
      </c>
      <c r="F144" s="19">
        <v>-1.7189079878665317E-2</v>
      </c>
      <c r="G144" s="20">
        <v>-2E-3</v>
      </c>
    </row>
    <row r="145" spans="1:7">
      <c r="A145" s="15" t="s">
        <v>284</v>
      </c>
      <c r="B145" s="33" t="s">
        <v>285</v>
      </c>
      <c r="C145" s="31">
        <v>40920</v>
      </c>
      <c r="D145" s="18">
        <v>39150</v>
      </c>
      <c r="E145" s="31">
        <v>-1770</v>
      </c>
      <c r="F145" s="19">
        <v>-4.2999999999999997E-2</v>
      </c>
      <c r="G145" s="20">
        <v>-4.0000000000000001E-3</v>
      </c>
    </row>
    <row r="146" spans="1:7">
      <c r="A146" s="15" t="s">
        <v>286</v>
      </c>
      <c r="B146" s="33" t="s">
        <v>287</v>
      </c>
      <c r="C146" s="31">
        <v>5830</v>
      </c>
      <c r="D146" s="18">
        <v>5790</v>
      </c>
      <c r="E146" s="31">
        <v>-40</v>
      </c>
      <c r="F146" s="19">
        <v>-6.8610634648370496E-3</v>
      </c>
      <c r="G146" s="20">
        <v>-1E-3</v>
      </c>
    </row>
    <row r="147" spans="1:7">
      <c r="A147" s="10" t="s">
        <v>288</v>
      </c>
      <c r="B147" s="10" t="s">
        <v>289</v>
      </c>
      <c r="C147" s="11">
        <v>243790</v>
      </c>
      <c r="D147" s="12">
        <v>233140</v>
      </c>
      <c r="E147" s="11">
        <v>-10650</v>
      </c>
      <c r="F147" s="13">
        <v>-4.3685138849009396E-2</v>
      </c>
      <c r="G147" s="14">
        <v>-4.0000000000000001E-3</v>
      </c>
    </row>
    <row r="148" spans="1:7">
      <c r="A148" s="15" t="s">
        <v>290</v>
      </c>
      <c r="B148" s="30" t="s">
        <v>291</v>
      </c>
      <c r="C148" s="31">
        <v>25120</v>
      </c>
      <c r="D148" s="18">
        <v>24650</v>
      </c>
      <c r="E148" s="31">
        <v>-470</v>
      </c>
      <c r="F148" s="19">
        <v>-1.8710191082802547E-2</v>
      </c>
      <c r="G148" s="20">
        <v>-2E-3</v>
      </c>
    </row>
    <row r="149" spans="1:7">
      <c r="A149" s="15" t="s">
        <v>292</v>
      </c>
      <c r="B149" s="34" t="s">
        <v>293</v>
      </c>
      <c r="C149" s="31">
        <v>21250</v>
      </c>
      <c r="D149" s="18">
        <v>19610</v>
      </c>
      <c r="E149" s="31">
        <v>-1640</v>
      </c>
      <c r="F149" s="19">
        <v>-7.7176470588235291E-2</v>
      </c>
      <c r="G149" s="20">
        <v>-8.0000000000000002E-3</v>
      </c>
    </row>
    <row r="150" spans="1:7">
      <c r="A150" s="15" t="s">
        <v>294</v>
      </c>
      <c r="B150" s="30" t="s">
        <v>295</v>
      </c>
      <c r="C150" s="31">
        <v>45670</v>
      </c>
      <c r="D150" s="18">
        <v>43690</v>
      </c>
      <c r="E150" s="31">
        <v>-1980</v>
      </c>
      <c r="F150" s="19">
        <v>-4.3354499671556822E-2</v>
      </c>
      <c r="G150" s="20">
        <v>-4.0000000000000001E-3</v>
      </c>
    </row>
    <row r="151" spans="1:7">
      <c r="A151" s="35" t="s">
        <v>296</v>
      </c>
      <c r="B151" s="36" t="s">
        <v>297</v>
      </c>
      <c r="C151" s="37">
        <v>151750</v>
      </c>
      <c r="D151" s="38">
        <v>145190</v>
      </c>
      <c r="E151" s="37">
        <v>-6560</v>
      </c>
      <c r="F151" s="39">
        <v>-4.3228995057660626E-2</v>
      </c>
      <c r="G151" s="40">
        <v>-4.0000000000000001E-3</v>
      </c>
    </row>
    <row r="152" spans="1:7">
      <c r="A152" s="41" t="s">
        <v>298</v>
      </c>
    </row>
    <row r="153" spans="1:7">
      <c r="A153" s="42" t="s">
        <v>299</v>
      </c>
    </row>
    <row r="154" spans="1:7">
      <c r="A154" s="41" t="s">
        <v>300</v>
      </c>
    </row>
    <row r="155" spans="1:7">
      <c r="A155" s="42" t="s">
        <v>301</v>
      </c>
    </row>
    <row r="156" spans="1:7">
      <c r="A156" s="42" t="s">
        <v>302</v>
      </c>
    </row>
  </sheetData>
  <mergeCells count="2">
    <mergeCell ref="C5:D5"/>
    <mergeCell ref="E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B7FA-1FC1-4678-9B48-A06202EFB755}">
  <dimension ref="A1:W913"/>
  <sheetViews>
    <sheetView workbookViewId="0">
      <selection activeCell="E1" sqref="E1"/>
    </sheetView>
  </sheetViews>
  <sheetFormatPr defaultRowHeight="14.45"/>
  <cols>
    <col min="3" max="3" width="15.42578125" customWidth="1"/>
    <col min="5" max="5" width="35.5703125" customWidth="1"/>
  </cols>
  <sheetData>
    <row r="1" spans="1:23">
      <c r="A1" t="s">
        <v>303</v>
      </c>
      <c r="B1" t="s">
        <v>0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R1" t="s">
        <v>0</v>
      </c>
      <c r="S1" t="s">
        <v>305</v>
      </c>
      <c r="T1" t="s">
        <v>306</v>
      </c>
      <c r="U1" t="s">
        <v>307</v>
      </c>
      <c r="V1" t="s">
        <v>310</v>
      </c>
      <c r="W1" t="s">
        <v>311</v>
      </c>
    </row>
    <row r="2" spans="1:23">
      <c r="A2">
        <v>1</v>
      </c>
      <c r="B2">
        <v>3252</v>
      </c>
      <c r="C2" t="s">
        <v>312</v>
      </c>
      <c r="D2">
        <v>1</v>
      </c>
      <c r="E2" t="s">
        <v>313</v>
      </c>
      <c r="F2" t="s">
        <v>314</v>
      </c>
      <c r="G2">
        <v>7265</v>
      </c>
      <c r="H2">
        <v>5524</v>
      </c>
      <c r="R2">
        <v>3252</v>
      </c>
      <c r="S2">
        <v>1</v>
      </c>
      <c r="T2" t="s">
        <v>313</v>
      </c>
      <c r="U2" t="s">
        <v>314</v>
      </c>
      <c r="V2">
        <v>2001</v>
      </c>
      <c r="W2">
        <v>4283</v>
      </c>
    </row>
    <row r="3" spans="1:23">
      <c r="A3">
        <v>2</v>
      </c>
      <c r="B3">
        <v>3255</v>
      </c>
      <c r="C3" t="s">
        <v>315</v>
      </c>
      <c r="D3">
        <v>1</v>
      </c>
      <c r="E3" t="s">
        <v>316</v>
      </c>
      <c r="F3" t="s">
        <v>314</v>
      </c>
      <c r="G3">
        <v>4874</v>
      </c>
      <c r="H3">
        <v>4347</v>
      </c>
      <c r="R3">
        <v>3252</v>
      </c>
      <c r="S3">
        <v>1</v>
      </c>
      <c r="T3" t="s">
        <v>313</v>
      </c>
      <c r="U3" t="s">
        <v>314</v>
      </c>
      <c r="V3">
        <v>2002</v>
      </c>
      <c r="W3">
        <v>3978</v>
      </c>
    </row>
    <row r="4" spans="1:23">
      <c r="A4">
        <v>3</v>
      </c>
      <c r="B4">
        <v>3261</v>
      </c>
      <c r="C4" t="s">
        <v>317</v>
      </c>
      <c r="D4">
        <v>1</v>
      </c>
      <c r="E4" t="s">
        <v>313</v>
      </c>
      <c r="F4" t="s">
        <v>314</v>
      </c>
      <c r="G4">
        <v>36820</v>
      </c>
      <c r="H4">
        <v>34371</v>
      </c>
      <c r="R4">
        <v>3252</v>
      </c>
      <c r="S4">
        <v>1</v>
      </c>
      <c r="T4" t="s">
        <v>313</v>
      </c>
      <c r="U4" t="s">
        <v>314</v>
      </c>
      <c r="V4">
        <v>2003</v>
      </c>
      <c r="W4">
        <v>3895</v>
      </c>
    </row>
    <row r="5" spans="1:23">
      <c r="A5">
        <v>4</v>
      </c>
      <c r="B5">
        <v>3262</v>
      </c>
      <c r="C5" t="s">
        <v>318</v>
      </c>
      <c r="D5">
        <v>1</v>
      </c>
      <c r="E5" t="s">
        <v>313</v>
      </c>
      <c r="F5" t="s">
        <v>314</v>
      </c>
      <c r="G5">
        <v>6003</v>
      </c>
      <c r="H5">
        <v>5147</v>
      </c>
      <c r="R5">
        <v>3252</v>
      </c>
      <c r="S5">
        <v>1</v>
      </c>
      <c r="T5" t="s">
        <v>313</v>
      </c>
      <c r="U5" t="s">
        <v>314</v>
      </c>
      <c r="V5">
        <v>2004</v>
      </c>
      <c r="W5">
        <v>3832</v>
      </c>
    </row>
    <row r="6" spans="1:23">
      <c r="A6">
        <v>5</v>
      </c>
      <c r="B6">
        <v>3272</v>
      </c>
      <c r="C6" t="s">
        <v>319</v>
      </c>
      <c r="D6">
        <v>1</v>
      </c>
      <c r="E6" t="s">
        <v>313</v>
      </c>
      <c r="F6" t="s">
        <v>314</v>
      </c>
      <c r="G6">
        <v>3185</v>
      </c>
      <c r="H6">
        <v>2802</v>
      </c>
      <c r="R6">
        <v>3252</v>
      </c>
      <c r="S6">
        <v>1</v>
      </c>
      <c r="T6" t="s">
        <v>313</v>
      </c>
      <c r="U6" t="s">
        <v>314</v>
      </c>
      <c r="V6">
        <v>2005</v>
      </c>
      <c r="W6">
        <v>6830</v>
      </c>
    </row>
    <row r="7" spans="1:23">
      <c r="A7">
        <v>6</v>
      </c>
      <c r="B7">
        <v>3311</v>
      </c>
      <c r="C7" t="s">
        <v>320</v>
      </c>
      <c r="D7">
        <v>1</v>
      </c>
      <c r="E7" t="s">
        <v>321</v>
      </c>
      <c r="F7" t="s">
        <v>314</v>
      </c>
      <c r="G7">
        <v>5228</v>
      </c>
      <c r="H7">
        <v>3258</v>
      </c>
      <c r="R7">
        <v>3252</v>
      </c>
      <c r="S7">
        <v>1</v>
      </c>
      <c r="T7" t="s">
        <v>313</v>
      </c>
      <c r="U7" t="s">
        <v>314</v>
      </c>
      <c r="V7">
        <v>2006</v>
      </c>
      <c r="W7">
        <v>6783</v>
      </c>
    </row>
    <row r="8" spans="1:23">
      <c r="A8">
        <v>7</v>
      </c>
      <c r="B8">
        <v>3312</v>
      </c>
      <c r="C8" t="s">
        <v>322</v>
      </c>
      <c r="D8">
        <v>1</v>
      </c>
      <c r="E8" t="s">
        <v>321</v>
      </c>
      <c r="F8" t="s">
        <v>314</v>
      </c>
      <c r="G8">
        <v>1790</v>
      </c>
      <c r="H8">
        <v>1974</v>
      </c>
      <c r="R8">
        <v>3252</v>
      </c>
      <c r="S8">
        <v>1</v>
      </c>
      <c r="T8" t="s">
        <v>313</v>
      </c>
      <c r="U8" t="s">
        <v>314</v>
      </c>
      <c r="V8">
        <v>2007</v>
      </c>
      <c r="W8">
        <v>6779</v>
      </c>
    </row>
    <row r="9" spans="1:23">
      <c r="A9">
        <v>8</v>
      </c>
      <c r="B9">
        <v>3313</v>
      </c>
      <c r="C9" t="s">
        <v>323</v>
      </c>
      <c r="D9">
        <v>1</v>
      </c>
      <c r="E9" t="s">
        <v>321</v>
      </c>
      <c r="F9" t="s">
        <v>314</v>
      </c>
      <c r="G9">
        <v>3436</v>
      </c>
      <c r="H9">
        <v>2698</v>
      </c>
      <c r="R9">
        <v>3252</v>
      </c>
      <c r="S9">
        <v>1</v>
      </c>
      <c r="T9" t="s">
        <v>313</v>
      </c>
      <c r="U9" t="s">
        <v>314</v>
      </c>
      <c r="V9">
        <v>2008</v>
      </c>
      <c r="W9">
        <v>6769</v>
      </c>
    </row>
    <row r="10" spans="1:23">
      <c r="A10">
        <v>9</v>
      </c>
      <c r="B10">
        <v>3314</v>
      </c>
      <c r="C10" t="s">
        <v>324</v>
      </c>
      <c r="D10">
        <v>1</v>
      </c>
      <c r="E10" t="s">
        <v>321</v>
      </c>
      <c r="F10" t="s">
        <v>314</v>
      </c>
      <c r="G10">
        <v>1414</v>
      </c>
      <c r="H10">
        <v>1262</v>
      </c>
      <c r="R10">
        <v>3252</v>
      </c>
      <c r="S10">
        <v>1</v>
      </c>
      <c r="T10" t="s">
        <v>313</v>
      </c>
      <c r="U10" t="s">
        <v>314</v>
      </c>
      <c r="V10">
        <v>2009</v>
      </c>
      <c r="W10">
        <v>6523</v>
      </c>
    </row>
    <row r="11" spans="1:23">
      <c r="A11">
        <v>13</v>
      </c>
      <c r="B11">
        <v>3315</v>
      </c>
      <c r="C11" t="s">
        <v>325</v>
      </c>
      <c r="D11">
        <v>3</v>
      </c>
      <c r="E11" t="s">
        <v>326</v>
      </c>
      <c r="F11" t="s">
        <v>314</v>
      </c>
      <c r="G11">
        <v>10846</v>
      </c>
      <c r="H11">
        <v>9349</v>
      </c>
      <c r="R11">
        <v>3252</v>
      </c>
      <c r="S11">
        <v>1</v>
      </c>
      <c r="T11" t="s">
        <v>313</v>
      </c>
      <c r="U11" t="s">
        <v>314</v>
      </c>
      <c r="V11">
        <v>2010</v>
      </c>
      <c r="W11">
        <v>6533</v>
      </c>
    </row>
    <row r="12" spans="1:23">
      <c r="A12">
        <v>14</v>
      </c>
      <c r="B12">
        <v>3321</v>
      </c>
      <c r="C12" t="s">
        <v>327</v>
      </c>
      <c r="D12">
        <v>3</v>
      </c>
      <c r="E12" t="s">
        <v>326</v>
      </c>
      <c r="F12" t="s">
        <v>314</v>
      </c>
      <c r="G12">
        <v>8431</v>
      </c>
      <c r="H12">
        <v>6988</v>
      </c>
      <c r="R12">
        <v>3252</v>
      </c>
      <c r="S12">
        <v>1</v>
      </c>
      <c r="T12" t="s">
        <v>313</v>
      </c>
      <c r="U12" t="s">
        <v>314</v>
      </c>
      <c r="V12">
        <v>2011</v>
      </c>
      <c r="W12">
        <v>6916</v>
      </c>
    </row>
    <row r="13" spans="1:23">
      <c r="A13">
        <v>15</v>
      </c>
      <c r="B13">
        <v>3326</v>
      </c>
      <c r="C13" t="s">
        <v>328</v>
      </c>
      <c r="D13">
        <v>4</v>
      </c>
      <c r="E13" t="s">
        <v>329</v>
      </c>
      <c r="F13" t="s">
        <v>314</v>
      </c>
      <c r="G13">
        <v>3444</v>
      </c>
      <c r="H13">
        <v>2869</v>
      </c>
      <c r="R13">
        <v>3252</v>
      </c>
      <c r="S13">
        <v>1</v>
      </c>
      <c r="T13" t="s">
        <v>313</v>
      </c>
      <c r="U13" t="s">
        <v>314</v>
      </c>
      <c r="V13">
        <v>2012</v>
      </c>
      <c r="W13">
        <v>7097</v>
      </c>
    </row>
    <row r="14" spans="1:23">
      <c r="A14">
        <v>16</v>
      </c>
      <c r="B14">
        <v>3327</v>
      </c>
      <c r="C14" t="s">
        <v>330</v>
      </c>
      <c r="D14">
        <v>4</v>
      </c>
      <c r="E14" t="s">
        <v>329</v>
      </c>
      <c r="F14" t="s">
        <v>314</v>
      </c>
      <c r="G14">
        <v>28818</v>
      </c>
      <c r="H14">
        <v>24530</v>
      </c>
      <c r="R14">
        <v>3252</v>
      </c>
      <c r="S14">
        <v>1</v>
      </c>
      <c r="T14" t="s">
        <v>313</v>
      </c>
      <c r="U14" t="s">
        <v>314</v>
      </c>
      <c r="V14">
        <v>2013</v>
      </c>
      <c r="W14">
        <v>6984</v>
      </c>
    </row>
    <row r="15" spans="1:23">
      <c r="A15">
        <v>10</v>
      </c>
      <c r="B15">
        <v>3328</v>
      </c>
      <c r="C15" t="s">
        <v>331</v>
      </c>
      <c r="D15">
        <v>1</v>
      </c>
      <c r="E15" t="s">
        <v>316</v>
      </c>
      <c r="F15" t="s">
        <v>314</v>
      </c>
      <c r="G15">
        <v>13709</v>
      </c>
      <c r="H15">
        <v>11221</v>
      </c>
      <c r="R15">
        <v>3252</v>
      </c>
      <c r="S15">
        <v>1</v>
      </c>
      <c r="T15" t="s">
        <v>313</v>
      </c>
      <c r="U15" t="s">
        <v>314</v>
      </c>
      <c r="V15">
        <v>2014</v>
      </c>
      <c r="W15">
        <v>6953</v>
      </c>
    </row>
    <row r="16" spans="1:23">
      <c r="A16">
        <v>17</v>
      </c>
      <c r="B16">
        <v>3329</v>
      </c>
      <c r="C16" t="s">
        <v>332</v>
      </c>
      <c r="D16">
        <v>4</v>
      </c>
      <c r="E16" t="s">
        <v>329</v>
      </c>
      <c r="F16" t="s">
        <v>314</v>
      </c>
      <c r="G16">
        <v>11286</v>
      </c>
      <c r="H16">
        <v>10865</v>
      </c>
      <c r="R16">
        <v>3252</v>
      </c>
      <c r="S16">
        <v>1</v>
      </c>
      <c r="T16" t="s">
        <v>313</v>
      </c>
      <c r="U16" t="s">
        <v>314</v>
      </c>
      <c r="V16">
        <v>2015</v>
      </c>
      <c r="W16">
        <v>6829</v>
      </c>
    </row>
    <row r="17" spans="1:23">
      <c r="A17">
        <v>11</v>
      </c>
      <c r="B17">
        <v>3335</v>
      </c>
      <c r="C17" t="s">
        <v>333</v>
      </c>
      <c r="D17">
        <v>2</v>
      </c>
      <c r="E17" t="s">
        <v>334</v>
      </c>
      <c r="F17" t="s">
        <v>314</v>
      </c>
      <c r="G17">
        <v>38331</v>
      </c>
      <c r="H17">
        <v>29604</v>
      </c>
      <c r="R17">
        <v>3252</v>
      </c>
      <c r="S17">
        <v>1</v>
      </c>
      <c r="T17" t="s">
        <v>313</v>
      </c>
      <c r="U17" t="s">
        <v>314</v>
      </c>
      <c r="V17">
        <v>2016</v>
      </c>
      <c r="W17">
        <v>6811</v>
      </c>
    </row>
    <row r="18" spans="1:23">
      <c r="A18">
        <v>19</v>
      </c>
      <c r="B18">
        <v>3336</v>
      </c>
      <c r="C18" t="s">
        <v>335</v>
      </c>
      <c r="D18">
        <v>5</v>
      </c>
      <c r="E18" t="s">
        <v>336</v>
      </c>
      <c r="F18" t="s">
        <v>314</v>
      </c>
      <c r="G18">
        <v>4502</v>
      </c>
      <c r="H18">
        <v>4970</v>
      </c>
      <c r="R18">
        <v>3252</v>
      </c>
      <c r="S18">
        <v>1</v>
      </c>
      <c r="T18" t="s">
        <v>313</v>
      </c>
      <c r="U18" t="s">
        <v>314</v>
      </c>
      <c r="V18">
        <v>2017</v>
      </c>
      <c r="W18">
        <v>6837</v>
      </c>
    </row>
    <row r="19" spans="1:23">
      <c r="A19">
        <v>12</v>
      </c>
      <c r="B19">
        <v>3339</v>
      </c>
      <c r="C19" t="s">
        <v>337</v>
      </c>
      <c r="D19">
        <v>2</v>
      </c>
      <c r="E19" t="s">
        <v>334</v>
      </c>
      <c r="F19" t="s">
        <v>314</v>
      </c>
      <c r="G19">
        <v>17093</v>
      </c>
      <c r="H19">
        <v>17946</v>
      </c>
      <c r="R19">
        <v>3252</v>
      </c>
      <c r="S19">
        <v>1</v>
      </c>
      <c r="T19" t="s">
        <v>313</v>
      </c>
      <c r="U19" t="s">
        <v>314</v>
      </c>
      <c r="V19">
        <v>2018</v>
      </c>
      <c r="W19">
        <v>7265</v>
      </c>
    </row>
    <row r="20" spans="1:23">
      <c r="A20">
        <v>18</v>
      </c>
      <c r="B20">
        <v>3344</v>
      </c>
      <c r="C20" t="s">
        <v>338</v>
      </c>
      <c r="D20">
        <v>4</v>
      </c>
      <c r="E20" t="s">
        <v>329</v>
      </c>
      <c r="F20" t="s">
        <v>314</v>
      </c>
      <c r="G20">
        <v>10170</v>
      </c>
      <c r="H20">
        <v>12179</v>
      </c>
      <c r="R20">
        <v>3252</v>
      </c>
      <c r="S20">
        <v>1</v>
      </c>
      <c r="T20" t="s">
        <v>313</v>
      </c>
      <c r="U20" t="s">
        <v>314</v>
      </c>
      <c r="V20">
        <v>2019</v>
      </c>
      <c r="W20">
        <v>7361</v>
      </c>
    </row>
    <row r="21" spans="1:23">
      <c r="A21">
        <v>20</v>
      </c>
      <c r="B21">
        <v>3345</v>
      </c>
      <c r="C21" t="s">
        <v>339</v>
      </c>
      <c r="D21">
        <v>5</v>
      </c>
      <c r="E21" t="s">
        <v>336</v>
      </c>
      <c r="F21" t="s">
        <v>314</v>
      </c>
      <c r="G21">
        <v>9027</v>
      </c>
      <c r="H21">
        <v>8867</v>
      </c>
      <c r="R21">
        <v>3252</v>
      </c>
      <c r="S21">
        <v>1</v>
      </c>
      <c r="T21" t="s">
        <v>313</v>
      </c>
      <c r="U21" t="s">
        <v>314</v>
      </c>
      <c r="V21">
        <v>2020</v>
      </c>
      <c r="W21">
        <v>6140</v>
      </c>
    </row>
    <row r="22" spans="1:23">
      <c r="A22">
        <v>21</v>
      </c>
      <c r="B22">
        <v>3359</v>
      </c>
      <c r="C22" t="s">
        <v>340</v>
      </c>
      <c r="D22">
        <v>5</v>
      </c>
      <c r="E22" t="s">
        <v>336</v>
      </c>
      <c r="F22" t="s">
        <v>314</v>
      </c>
      <c r="G22">
        <v>3847</v>
      </c>
      <c r="H22">
        <v>4446</v>
      </c>
      <c r="R22">
        <v>3252</v>
      </c>
      <c r="S22">
        <v>1</v>
      </c>
      <c r="T22" t="s">
        <v>313</v>
      </c>
      <c r="U22" t="s">
        <v>314</v>
      </c>
      <c r="V22">
        <v>2021</v>
      </c>
      <c r="W22">
        <v>5947</v>
      </c>
    </row>
    <row r="23" spans="1:23">
      <c r="A23">
        <v>25</v>
      </c>
      <c r="B23">
        <v>3361</v>
      </c>
      <c r="C23" t="s">
        <v>341</v>
      </c>
      <c r="D23">
        <v>7</v>
      </c>
      <c r="E23" t="s">
        <v>342</v>
      </c>
      <c r="F23" t="s">
        <v>343</v>
      </c>
      <c r="G23">
        <v>39490</v>
      </c>
      <c r="H23">
        <v>48138</v>
      </c>
      <c r="R23">
        <v>3252</v>
      </c>
      <c r="S23">
        <v>1</v>
      </c>
      <c r="T23" t="s">
        <v>313</v>
      </c>
      <c r="U23" t="s">
        <v>314</v>
      </c>
      <c r="V23">
        <v>2022</v>
      </c>
      <c r="W23">
        <v>5713</v>
      </c>
    </row>
    <row r="24" spans="1:23">
      <c r="A24">
        <v>26</v>
      </c>
      <c r="B24">
        <v>3362</v>
      </c>
      <c r="C24" t="s">
        <v>344</v>
      </c>
      <c r="D24">
        <v>7</v>
      </c>
      <c r="E24" t="s">
        <v>342</v>
      </c>
      <c r="F24" t="s">
        <v>343</v>
      </c>
      <c r="G24">
        <v>9041</v>
      </c>
      <c r="H24">
        <v>7921</v>
      </c>
      <c r="R24">
        <v>3252</v>
      </c>
      <c r="S24">
        <v>1</v>
      </c>
      <c r="T24" t="s">
        <v>313</v>
      </c>
      <c r="U24" t="s">
        <v>314</v>
      </c>
      <c r="V24">
        <v>2023</v>
      </c>
      <c r="W24">
        <v>5346</v>
      </c>
    </row>
    <row r="25" spans="1:23">
      <c r="A25">
        <v>27</v>
      </c>
      <c r="B25">
        <v>3363</v>
      </c>
      <c r="C25" t="s">
        <v>345</v>
      </c>
      <c r="D25">
        <v>7</v>
      </c>
      <c r="E25" t="s">
        <v>342</v>
      </c>
      <c r="F25" t="s">
        <v>343</v>
      </c>
      <c r="G25">
        <v>134464</v>
      </c>
      <c r="H25">
        <v>117023</v>
      </c>
      <c r="R25">
        <v>3252</v>
      </c>
      <c r="S25">
        <v>1</v>
      </c>
      <c r="T25" t="s">
        <v>313</v>
      </c>
      <c r="U25" t="s">
        <v>314</v>
      </c>
      <c r="V25">
        <v>2024</v>
      </c>
      <c r="W25">
        <v>5524</v>
      </c>
    </row>
    <row r="26" spans="1:23">
      <c r="A26">
        <v>28</v>
      </c>
      <c r="B26">
        <v>4231</v>
      </c>
      <c r="C26" t="s">
        <v>346</v>
      </c>
      <c r="D26">
        <v>8</v>
      </c>
      <c r="E26" t="s">
        <v>347</v>
      </c>
      <c r="F26" t="s">
        <v>348</v>
      </c>
      <c r="G26">
        <v>22017</v>
      </c>
      <c r="H26">
        <v>25978</v>
      </c>
      <c r="R26">
        <v>3255</v>
      </c>
      <c r="S26">
        <v>1</v>
      </c>
      <c r="T26" t="s">
        <v>316</v>
      </c>
      <c r="U26" t="s">
        <v>314</v>
      </c>
      <c r="V26">
        <v>2001</v>
      </c>
      <c r="W26">
        <v>4166</v>
      </c>
    </row>
    <row r="27" spans="1:23">
      <c r="A27">
        <v>29</v>
      </c>
      <c r="B27">
        <v>4235</v>
      </c>
      <c r="C27" t="s">
        <v>349</v>
      </c>
      <c r="D27">
        <v>8</v>
      </c>
      <c r="E27" t="s">
        <v>347</v>
      </c>
      <c r="F27" t="s">
        <v>348</v>
      </c>
      <c r="G27">
        <v>7191</v>
      </c>
      <c r="H27">
        <v>6359</v>
      </c>
      <c r="R27">
        <v>3255</v>
      </c>
      <c r="S27">
        <v>1</v>
      </c>
      <c r="T27" t="s">
        <v>316</v>
      </c>
      <c r="U27" t="s">
        <v>314</v>
      </c>
      <c r="V27">
        <v>2002</v>
      </c>
      <c r="W27">
        <v>4122</v>
      </c>
    </row>
    <row r="28" spans="1:23">
      <c r="A28">
        <v>30</v>
      </c>
      <c r="B28">
        <v>4238</v>
      </c>
      <c r="C28" t="s">
        <v>350</v>
      </c>
      <c r="D28">
        <v>8</v>
      </c>
      <c r="E28" t="s">
        <v>347</v>
      </c>
      <c r="F28" t="s">
        <v>348</v>
      </c>
      <c r="G28">
        <v>25165</v>
      </c>
      <c r="H28">
        <v>24407</v>
      </c>
      <c r="R28">
        <v>3255</v>
      </c>
      <c r="S28">
        <v>1</v>
      </c>
      <c r="T28" t="s">
        <v>316</v>
      </c>
      <c r="U28" t="s">
        <v>314</v>
      </c>
      <c r="V28">
        <v>2003</v>
      </c>
      <c r="W28">
        <v>4023</v>
      </c>
    </row>
    <row r="29" spans="1:23">
      <c r="A29">
        <v>31</v>
      </c>
      <c r="B29">
        <v>4239</v>
      </c>
      <c r="C29" t="s">
        <v>351</v>
      </c>
      <c r="D29">
        <v>8</v>
      </c>
      <c r="E29" t="s">
        <v>347</v>
      </c>
      <c r="F29" t="s">
        <v>348</v>
      </c>
      <c r="G29">
        <v>7792</v>
      </c>
      <c r="H29">
        <v>8732</v>
      </c>
      <c r="R29">
        <v>3255</v>
      </c>
      <c r="S29">
        <v>1</v>
      </c>
      <c r="T29" t="s">
        <v>316</v>
      </c>
      <c r="U29" t="s">
        <v>314</v>
      </c>
      <c r="V29">
        <v>2004</v>
      </c>
      <c r="W29">
        <v>3984</v>
      </c>
    </row>
    <row r="30" spans="1:23">
      <c r="A30">
        <v>32</v>
      </c>
      <c r="B30">
        <v>4247</v>
      </c>
      <c r="C30" t="s">
        <v>352</v>
      </c>
      <c r="D30">
        <v>8</v>
      </c>
      <c r="E30" t="s">
        <v>347</v>
      </c>
      <c r="F30" t="s">
        <v>348</v>
      </c>
      <c r="G30">
        <v>3442</v>
      </c>
      <c r="H30">
        <v>3846</v>
      </c>
      <c r="R30">
        <v>3255</v>
      </c>
      <c r="S30">
        <v>1</v>
      </c>
      <c r="T30" t="s">
        <v>316</v>
      </c>
      <c r="U30" t="s">
        <v>314</v>
      </c>
      <c r="V30">
        <v>2005</v>
      </c>
      <c r="W30">
        <v>3423</v>
      </c>
    </row>
    <row r="31" spans="1:23">
      <c r="A31">
        <v>35</v>
      </c>
      <c r="B31">
        <v>4411</v>
      </c>
      <c r="C31" t="s">
        <v>353</v>
      </c>
      <c r="D31">
        <v>9</v>
      </c>
      <c r="E31" t="s">
        <v>354</v>
      </c>
      <c r="F31" t="s">
        <v>348</v>
      </c>
      <c r="G31">
        <v>39716</v>
      </c>
      <c r="H31">
        <v>38262</v>
      </c>
      <c r="R31">
        <v>3255</v>
      </c>
      <c r="S31">
        <v>1</v>
      </c>
      <c r="T31" t="s">
        <v>316</v>
      </c>
      <c r="U31" t="s">
        <v>314</v>
      </c>
      <c r="V31">
        <v>2006</v>
      </c>
      <c r="W31">
        <v>3299</v>
      </c>
    </row>
    <row r="32" spans="1:23">
      <c r="A32">
        <v>33</v>
      </c>
      <c r="B32">
        <v>4413</v>
      </c>
      <c r="C32" t="s">
        <v>355</v>
      </c>
      <c r="D32">
        <v>8</v>
      </c>
      <c r="E32" t="s">
        <v>347</v>
      </c>
      <c r="F32" t="s">
        <v>348</v>
      </c>
      <c r="G32">
        <v>17572</v>
      </c>
      <c r="H32">
        <v>18192</v>
      </c>
      <c r="R32">
        <v>3255</v>
      </c>
      <c r="S32">
        <v>1</v>
      </c>
      <c r="T32" t="s">
        <v>316</v>
      </c>
      <c r="U32" t="s">
        <v>314</v>
      </c>
      <c r="V32">
        <v>2007</v>
      </c>
      <c r="W32">
        <v>3260</v>
      </c>
    </row>
    <row r="33" spans="1:23">
      <c r="A33">
        <v>34</v>
      </c>
      <c r="B33">
        <v>4571</v>
      </c>
      <c r="C33" t="s">
        <v>356</v>
      </c>
      <c r="D33">
        <v>8</v>
      </c>
      <c r="E33" t="s">
        <v>347</v>
      </c>
      <c r="F33" t="s">
        <v>348</v>
      </c>
      <c r="G33">
        <v>27341.077804565401</v>
      </c>
      <c r="H33">
        <v>27826</v>
      </c>
      <c r="R33">
        <v>3255</v>
      </c>
      <c r="S33">
        <v>1</v>
      </c>
      <c r="T33" t="s">
        <v>316</v>
      </c>
      <c r="U33" t="s">
        <v>314</v>
      </c>
      <c r="V33">
        <v>2008</v>
      </c>
      <c r="W33">
        <v>3024</v>
      </c>
    </row>
    <row r="34" spans="1:23">
      <c r="A34">
        <v>37</v>
      </c>
      <c r="B34">
        <v>4841</v>
      </c>
      <c r="C34" t="s">
        <v>357</v>
      </c>
      <c r="D34">
        <v>10</v>
      </c>
      <c r="E34" t="s">
        <v>358</v>
      </c>
      <c r="F34" t="s">
        <v>348</v>
      </c>
      <c r="G34">
        <v>36045</v>
      </c>
      <c r="H34">
        <v>35249</v>
      </c>
      <c r="R34">
        <v>3255</v>
      </c>
      <c r="S34">
        <v>1</v>
      </c>
      <c r="T34" t="s">
        <v>316</v>
      </c>
      <c r="U34" t="s">
        <v>314</v>
      </c>
      <c r="V34">
        <v>2009</v>
      </c>
      <c r="W34">
        <v>2493</v>
      </c>
    </row>
    <row r="35" spans="1:23">
      <c r="A35">
        <v>38</v>
      </c>
      <c r="B35">
        <v>4842</v>
      </c>
      <c r="C35" t="s">
        <v>359</v>
      </c>
      <c r="D35">
        <v>10</v>
      </c>
      <c r="E35" t="s">
        <v>358</v>
      </c>
      <c r="F35" t="s">
        <v>348</v>
      </c>
      <c r="G35">
        <v>11457</v>
      </c>
      <c r="H35">
        <v>11640</v>
      </c>
      <c r="R35">
        <v>3255</v>
      </c>
      <c r="S35">
        <v>1</v>
      </c>
      <c r="T35" t="s">
        <v>316</v>
      </c>
      <c r="U35" t="s">
        <v>314</v>
      </c>
      <c r="V35">
        <v>2010</v>
      </c>
      <c r="W35">
        <v>2425</v>
      </c>
    </row>
    <row r="36" spans="1:23">
      <c r="A36">
        <v>22</v>
      </c>
      <c r="B36">
        <v>5413</v>
      </c>
      <c r="C36" t="s">
        <v>210</v>
      </c>
      <c r="D36">
        <v>6</v>
      </c>
      <c r="E36" t="s">
        <v>360</v>
      </c>
      <c r="F36" t="s">
        <v>343</v>
      </c>
      <c r="G36">
        <v>86547</v>
      </c>
      <c r="H36">
        <v>84452</v>
      </c>
      <c r="R36">
        <v>3255</v>
      </c>
      <c r="S36">
        <v>1</v>
      </c>
      <c r="T36" t="s">
        <v>316</v>
      </c>
      <c r="U36" t="s">
        <v>314</v>
      </c>
      <c r="V36">
        <v>2011</v>
      </c>
      <c r="W36">
        <v>2788</v>
      </c>
    </row>
    <row r="37" spans="1:23">
      <c r="A37">
        <v>23</v>
      </c>
      <c r="B37">
        <v>5414</v>
      </c>
      <c r="C37" t="s">
        <v>212</v>
      </c>
      <c r="D37">
        <v>6</v>
      </c>
      <c r="E37" t="s">
        <v>360</v>
      </c>
      <c r="F37" t="s">
        <v>343</v>
      </c>
      <c r="G37">
        <v>8632</v>
      </c>
      <c r="H37">
        <v>10458</v>
      </c>
      <c r="R37">
        <v>3255</v>
      </c>
      <c r="S37">
        <v>1</v>
      </c>
      <c r="T37" t="s">
        <v>316</v>
      </c>
      <c r="U37" t="s">
        <v>314</v>
      </c>
      <c r="V37">
        <v>2012</v>
      </c>
      <c r="W37">
        <v>3204</v>
      </c>
    </row>
    <row r="38" spans="1:23">
      <c r="A38">
        <v>24</v>
      </c>
      <c r="B38">
        <v>5417</v>
      </c>
      <c r="C38" t="s">
        <v>218</v>
      </c>
      <c r="D38">
        <v>6</v>
      </c>
      <c r="E38" t="s">
        <v>360</v>
      </c>
      <c r="F38" t="s">
        <v>343</v>
      </c>
      <c r="G38">
        <v>21519</v>
      </c>
      <c r="H38">
        <v>25297</v>
      </c>
      <c r="R38">
        <v>3255</v>
      </c>
      <c r="S38">
        <v>1</v>
      </c>
      <c r="T38" t="s">
        <v>316</v>
      </c>
      <c r="U38" t="s">
        <v>314</v>
      </c>
      <c r="V38">
        <v>2013</v>
      </c>
      <c r="W38">
        <v>3434</v>
      </c>
    </row>
    <row r="39" spans="1:23">
      <c r="A39">
        <v>36</v>
      </c>
      <c r="B39">
        <v>8111</v>
      </c>
      <c r="C39" t="s">
        <v>361</v>
      </c>
      <c r="D39">
        <v>9</v>
      </c>
      <c r="E39" t="s">
        <v>354</v>
      </c>
      <c r="F39" t="s">
        <v>348</v>
      </c>
      <c r="G39">
        <v>28824</v>
      </c>
      <c r="H39">
        <v>31338</v>
      </c>
      <c r="R39">
        <v>3255</v>
      </c>
      <c r="S39">
        <v>1</v>
      </c>
      <c r="T39" t="s">
        <v>316</v>
      </c>
      <c r="U39" t="s">
        <v>314</v>
      </c>
      <c r="V39">
        <v>2014</v>
      </c>
      <c r="W39">
        <v>4088</v>
      </c>
    </row>
    <row r="40" spans="1:23">
      <c r="Q40">
        <v>3255</v>
      </c>
      <c r="R40">
        <v>1</v>
      </c>
      <c r="S40" t="s">
        <v>316</v>
      </c>
      <c r="T40" t="s">
        <v>314</v>
      </c>
      <c r="U40">
        <v>2015</v>
      </c>
      <c r="V40">
        <v>4233</v>
      </c>
    </row>
    <row r="41" spans="1:23">
      <c r="Q41">
        <v>3255</v>
      </c>
      <c r="R41">
        <v>1</v>
      </c>
      <c r="S41" t="s">
        <v>316</v>
      </c>
      <c r="T41" t="s">
        <v>314</v>
      </c>
      <c r="U41">
        <v>2016</v>
      </c>
      <c r="V41">
        <v>4529</v>
      </c>
    </row>
    <row r="42" spans="1:23">
      <c r="Q42">
        <v>3255</v>
      </c>
      <c r="R42">
        <v>1</v>
      </c>
      <c r="S42" t="s">
        <v>316</v>
      </c>
      <c r="T42" t="s">
        <v>314</v>
      </c>
      <c r="U42">
        <v>2017</v>
      </c>
      <c r="V42">
        <v>4730</v>
      </c>
    </row>
    <row r="43" spans="1:23">
      <c r="Q43">
        <v>3255</v>
      </c>
      <c r="R43">
        <v>1</v>
      </c>
      <c r="S43" t="s">
        <v>316</v>
      </c>
      <c r="T43" t="s">
        <v>314</v>
      </c>
      <c r="U43">
        <v>2018</v>
      </c>
      <c r="V43">
        <v>4874</v>
      </c>
    </row>
    <row r="44" spans="1:23">
      <c r="Q44">
        <v>3255</v>
      </c>
      <c r="R44">
        <v>1</v>
      </c>
      <c r="S44" t="s">
        <v>316</v>
      </c>
      <c r="T44" t="s">
        <v>314</v>
      </c>
      <c r="U44">
        <v>2019</v>
      </c>
      <c r="V44">
        <v>5075</v>
      </c>
    </row>
    <row r="45" spans="1:23">
      <c r="Q45">
        <v>3255</v>
      </c>
      <c r="R45">
        <v>1</v>
      </c>
      <c r="S45" t="s">
        <v>316</v>
      </c>
      <c r="T45" t="s">
        <v>314</v>
      </c>
      <c r="U45">
        <v>2020</v>
      </c>
      <c r="V45">
        <v>4665</v>
      </c>
    </row>
    <row r="46" spans="1:23">
      <c r="Q46">
        <v>3255</v>
      </c>
      <c r="R46">
        <v>1</v>
      </c>
      <c r="S46" t="s">
        <v>316</v>
      </c>
      <c r="T46" t="s">
        <v>314</v>
      </c>
      <c r="U46">
        <v>2021</v>
      </c>
      <c r="V46">
        <v>4581</v>
      </c>
    </row>
    <row r="47" spans="1:23">
      <c r="Q47">
        <v>3255</v>
      </c>
      <c r="R47">
        <v>1</v>
      </c>
      <c r="S47" t="s">
        <v>316</v>
      </c>
      <c r="T47" t="s">
        <v>314</v>
      </c>
      <c r="U47">
        <v>2022</v>
      </c>
      <c r="V47">
        <v>4616</v>
      </c>
    </row>
    <row r="48" spans="1:23">
      <c r="Q48">
        <v>3255</v>
      </c>
      <c r="R48">
        <v>1</v>
      </c>
      <c r="S48" t="s">
        <v>316</v>
      </c>
      <c r="T48" t="s">
        <v>314</v>
      </c>
      <c r="U48">
        <v>2023</v>
      </c>
      <c r="V48">
        <v>4502</v>
      </c>
    </row>
    <row r="49" spans="17:22">
      <c r="Q49">
        <v>3255</v>
      </c>
      <c r="R49">
        <v>1</v>
      </c>
      <c r="S49" t="s">
        <v>316</v>
      </c>
      <c r="T49" t="s">
        <v>314</v>
      </c>
      <c r="U49">
        <v>2024</v>
      </c>
      <c r="V49">
        <v>4347</v>
      </c>
    </row>
    <row r="50" spans="17:22">
      <c r="Q50">
        <v>3261</v>
      </c>
      <c r="R50">
        <v>1</v>
      </c>
      <c r="S50" t="s">
        <v>313</v>
      </c>
      <c r="T50" t="s">
        <v>314</v>
      </c>
      <c r="U50">
        <v>2001</v>
      </c>
      <c r="V50">
        <v>39596</v>
      </c>
    </row>
    <row r="51" spans="17:22">
      <c r="Q51">
        <v>3261</v>
      </c>
      <c r="R51">
        <v>1</v>
      </c>
      <c r="S51" t="s">
        <v>313</v>
      </c>
      <c r="T51" t="s">
        <v>314</v>
      </c>
      <c r="U51">
        <v>2002</v>
      </c>
      <c r="V51">
        <v>37337</v>
      </c>
    </row>
    <row r="52" spans="17:22">
      <c r="Q52">
        <v>3261</v>
      </c>
      <c r="R52">
        <v>1</v>
      </c>
      <c r="S52" t="s">
        <v>313</v>
      </c>
      <c r="T52" t="s">
        <v>314</v>
      </c>
      <c r="U52">
        <v>2003</v>
      </c>
      <c r="V52">
        <v>37603</v>
      </c>
    </row>
    <row r="53" spans="17:22">
      <c r="Q53">
        <v>3261</v>
      </c>
      <c r="R53">
        <v>1</v>
      </c>
      <c r="S53" t="s">
        <v>313</v>
      </c>
      <c r="T53" t="s">
        <v>314</v>
      </c>
      <c r="U53">
        <v>2004</v>
      </c>
      <c r="V53">
        <v>37601</v>
      </c>
    </row>
    <row r="54" spans="17:22">
      <c r="Q54">
        <v>3261</v>
      </c>
      <c r="R54">
        <v>1</v>
      </c>
      <c r="S54" t="s">
        <v>313</v>
      </c>
      <c r="T54" t="s">
        <v>314</v>
      </c>
      <c r="U54">
        <v>2005</v>
      </c>
      <c r="V54">
        <v>37192</v>
      </c>
    </row>
    <row r="55" spans="17:22">
      <c r="Q55">
        <v>3261</v>
      </c>
      <c r="R55">
        <v>1</v>
      </c>
      <c r="S55" t="s">
        <v>313</v>
      </c>
      <c r="T55" t="s">
        <v>314</v>
      </c>
      <c r="U55">
        <v>2006</v>
      </c>
      <c r="V55">
        <v>36426</v>
      </c>
    </row>
    <row r="56" spans="17:22">
      <c r="Q56">
        <v>3261</v>
      </c>
      <c r="R56">
        <v>1</v>
      </c>
      <c r="S56" t="s">
        <v>313</v>
      </c>
      <c r="T56" t="s">
        <v>314</v>
      </c>
      <c r="U56">
        <v>2007</v>
      </c>
      <c r="V56">
        <v>34146</v>
      </c>
    </row>
    <row r="57" spans="17:22">
      <c r="Q57">
        <v>3261</v>
      </c>
      <c r="R57">
        <v>1</v>
      </c>
      <c r="S57" t="s">
        <v>313</v>
      </c>
      <c r="T57" t="s">
        <v>314</v>
      </c>
      <c r="U57">
        <v>2008</v>
      </c>
      <c r="V57">
        <v>32035</v>
      </c>
    </row>
    <row r="58" spans="17:22">
      <c r="Q58">
        <v>3261</v>
      </c>
      <c r="R58">
        <v>1</v>
      </c>
      <c r="S58" t="s">
        <v>313</v>
      </c>
      <c r="T58" t="s">
        <v>314</v>
      </c>
      <c r="U58">
        <v>2009</v>
      </c>
      <c r="V58">
        <v>23383</v>
      </c>
    </row>
    <row r="59" spans="17:22">
      <c r="Q59">
        <v>3261</v>
      </c>
      <c r="R59">
        <v>1</v>
      </c>
      <c r="S59" t="s">
        <v>313</v>
      </c>
      <c r="T59" t="s">
        <v>314</v>
      </c>
      <c r="U59">
        <v>2010</v>
      </c>
      <c r="V59">
        <v>25893</v>
      </c>
    </row>
    <row r="60" spans="17:22">
      <c r="Q60">
        <v>3261</v>
      </c>
      <c r="R60">
        <v>1</v>
      </c>
      <c r="S60" t="s">
        <v>313</v>
      </c>
      <c r="T60" t="s">
        <v>314</v>
      </c>
      <c r="U60">
        <v>2011</v>
      </c>
      <c r="V60">
        <v>27933</v>
      </c>
    </row>
    <row r="61" spans="17:22">
      <c r="Q61">
        <v>3261</v>
      </c>
      <c r="R61">
        <v>1</v>
      </c>
      <c r="S61" t="s">
        <v>313</v>
      </c>
      <c r="T61" t="s">
        <v>314</v>
      </c>
      <c r="U61">
        <v>2012</v>
      </c>
      <c r="V61">
        <v>29702</v>
      </c>
    </row>
    <row r="62" spans="17:22">
      <c r="Q62">
        <v>3261</v>
      </c>
      <c r="R62">
        <v>1</v>
      </c>
      <c r="S62" t="s">
        <v>313</v>
      </c>
      <c r="T62" t="s">
        <v>314</v>
      </c>
      <c r="U62">
        <v>2013</v>
      </c>
      <c r="V62">
        <v>30912</v>
      </c>
    </row>
    <row r="63" spans="17:22">
      <c r="Q63">
        <v>3261</v>
      </c>
      <c r="R63">
        <v>1</v>
      </c>
      <c r="S63" t="s">
        <v>313</v>
      </c>
      <c r="T63" t="s">
        <v>314</v>
      </c>
      <c r="U63">
        <v>2014</v>
      </c>
      <c r="V63">
        <v>33179</v>
      </c>
    </row>
    <row r="64" spans="17:22">
      <c r="Q64">
        <v>3261</v>
      </c>
      <c r="R64">
        <v>1</v>
      </c>
      <c r="S64" t="s">
        <v>313</v>
      </c>
      <c r="T64" t="s">
        <v>314</v>
      </c>
      <c r="U64">
        <v>2015</v>
      </c>
      <c r="V64">
        <v>34248</v>
      </c>
    </row>
    <row r="65" spans="17:22">
      <c r="Q65">
        <v>3261</v>
      </c>
      <c r="R65">
        <v>1</v>
      </c>
      <c r="S65" t="s">
        <v>313</v>
      </c>
      <c r="T65" t="s">
        <v>314</v>
      </c>
      <c r="U65">
        <v>2016</v>
      </c>
      <c r="V65">
        <v>35966</v>
      </c>
    </row>
    <row r="66" spans="17:22">
      <c r="Q66">
        <v>3261</v>
      </c>
      <c r="R66">
        <v>1</v>
      </c>
      <c r="S66" t="s">
        <v>313</v>
      </c>
      <c r="T66" t="s">
        <v>314</v>
      </c>
      <c r="U66">
        <v>2017</v>
      </c>
      <c r="V66">
        <v>36296</v>
      </c>
    </row>
    <row r="67" spans="17:22">
      <c r="Q67">
        <v>3261</v>
      </c>
      <c r="R67">
        <v>1</v>
      </c>
      <c r="S67" t="s">
        <v>313</v>
      </c>
      <c r="T67" t="s">
        <v>314</v>
      </c>
      <c r="U67">
        <v>2018</v>
      </c>
      <c r="V67">
        <v>36820</v>
      </c>
    </row>
    <row r="68" spans="17:22">
      <c r="Q68">
        <v>3261</v>
      </c>
      <c r="R68">
        <v>1</v>
      </c>
      <c r="S68" t="s">
        <v>313</v>
      </c>
      <c r="T68" t="s">
        <v>314</v>
      </c>
      <c r="U68">
        <v>2019</v>
      </c>
      <c r="V68">
        <v>36932</v>
      </c>
    </row>
    <row r="69" spans="17:22">
      <c r="Q69">
        <v>3261</v>
      </c>
      <c r="R69">
        <v>1</v>
      </c>
      <c r="S69" t="s">
        <v>313</v>
      </c>
      <c r="T69" t="s">
        <v>314</v>
      </c>
      <c r="U69">
        <v>2020</v>
      </c>
      <c r="V69">
        <v>31852</v>
      </c>
    </row>
    <row r="70" spans="17:22">
      <c r="Q70">
        <v>3261</v>
      </c>
      <c r="R70">
        <v>1</v>
      </c>
      <c r="S70" t="s">
        <v>313</v>
      </c>
      <c r="T70" t="s">
        <v>314</v>
      </c>
      <c r="U70">
        <v>2021</v>
      </c>
      <c r="V70">
        <v>33451</v>
      </c>
    </row>
    <row r="71" spans="17:22">
      <c r="Q71">
        <v>3261</v>
      </c>
      <c r="R71">
        <v>1</v>
      </c>
      <c r="S71" t="s">
        <v>313</v>
      </c>
      <c r="T71" t="s">
        <v>314</v>
      </c>
      <c r="U71">
        <v>2022</v>
      </c>
      <c r="V71">
        <v>34540</v>
      </c>
    </row>
    <row r="72" spans="17:22">
      <c r="Q72">
        <v>3261</v>
      </c>
      <c r="R72">
        <v>1</v>
      </c>
      <c r="S72" t="s">
        <v>313</v>
      </c>
      <c r="T72" t="s">
        <v>314</v>
      </c>
      <c r="U72">
        <v>2023</v>
      </c>
      <c r="V72">
        <v>34599</v>
      </c>
    </row>
    <row r="73" spans="17:22">
      <c r="Q73">
        <v>3261</v>
      </c>
      <c r="R73">
        <v>1</v>
      </c>
      <c r="S73" t="s">
        <v>313</v>
      </c>
      <c r="T73" t="s">
        <v>314</v>
      </c>
      <c r="U73">
        <v>2024</v>
      </c>
      <c r="V73">
        <v>34371</v>
      </c>
    </row>
    <row r="74" spans="17:22">
      <c r="Q74">
        <v>3262</v>
      </c>
      <c r="R74">
        <v>1</v>
      </c>
      <c r="S74" t="s">
        <v>313</v>
      </c>
      <c r="T74" t="s">
        <v>314</v>
      </c>
      <c r="U74">
        <v>2001</v>
      </c>
      <c r="V74">
        <v>6288</v>
      </c>
    </row>
    <row r="75" spans="17:22">
      <c r="Q75">
        <v>3262</v>
      </c>
      <c r="R75">
        <v>1</v>
      </c>
      <c r="S75" t="s">
        <v>313</v>
      </c>
      <c r="T75" t="s">
        <v>314</v>
      </c>
      <c r="U75">
        <v>2002</v>
      </c>
      <c r="V75">
        <v>5751</v>
      </c>
    </row>
    <row r="76" spans="17:22">
      <c r="Q76">
        <v>3262</v>
      </c>
      <c r="R76">
        <v>1</v>
      </c>
      <c r="S76" t="s">
        <v>313</v>
      </c>
      <c r="T76" t="s">
        <v>314</v>
      </c>
      <c r="U76">
        <v>2003</v>
      </c>
      <c r="V76">
        <v>5552</v>
      </c>
    </row>
    <row r="77" spans="17:22">
      <c r="Q77">
        <v>3262</v>
      </c>
      <c r="R77">
        <v>1</v>
      </c>
      <c r="S77" t="s">
        <v>313</v>
      </c>
      <c r="T77" t="s">
        <v>314</v>
      </c>
      <c r="U77">
        <v>2004</v>
      </c>
      <c r="V77">
        <v>5594</v>
      </c>
    </row>
    <row r="78" spans="17:22">
      <c r="Q78">
        <v>3262</v>
      </c>
      <c r="R78">
        <v>1</v>
      </c>
      <c r="S78" t="s">
        <v>313</v>
      </c>
      <c r="T78" t="s">
        <v>314</v>
      </c>
      <c r="U78">
        <v>2005</v>
      </c>
      <c r="V78">
        <v>5446</v>
      </c>
    </row>
    <row r="79" spans="17:22">
      <c r="Q79">
        <v>3262</v>
      </c>
      <c r="R79">
        <v>1</v>
      </c>
      <c r="S79" t="s">
        <v>313</v>
      </c>
      <c r="T79" t="s">
        <v>314</v>
      </c>
      <c r="U79">
        <v>2006</v>
      </c>
      <c r="V79">
        <v>5353</v>
      </c>
    </row>
    <row r="80" spans="17:22">
      <c r="Q80">
        <v>3262</v>
      </c>
      <c r="R80">
        <v>1</v>
      </c>
      <c r="S80" t="s">
        <v>313</v>
      </c>
      <c r="T80" t="s">
        <v>314</v>
      </c>
      <c r="U80">
        <v>2007</v>
      </c>
      <c r="V80">
        <v>4864</v>
      </c>
    </row>
    <row r="81" spans="17:22">
      <c r="Q81">
        <v>3262</v>
      </c>
      <c r="R81">
        <v>1</v>
      </c>
      <c r="S81" t="s">
        <v>313</v>
      </c>
      <c r="T81" t="s">
        <v>314</v>
      </c>
      <c r="U81">
        <v>2008</v>
      </c>
      <c r="V81">
        <v>4552</v>
      </c>
    </row>
    <row r="82" spans="17:22">
      <c r="Q82">
        <v>3262</v>
      </c>
      <c r="R82">
        <v>1</v>
      </c>
      <c r="S82" t="s">
        <v>313</v>
      </c>
      <c r="T82" t="s">
        <v>314</v>
      </c>
      <c r="U82">
        <v>2009</v>
      </c>
      <c r="V82">
        <v>3601</v>
      </c>
    </row>
    <row r="83" spans="17:22">
      <c r="Q83">
        <v>3262</v>
      </c>
      <c r="R83">
        <v>1</v>
      </c>
      <c r="S83" t="s">
        <v>313</v>
      </c>
      <c r="T83" t="s">
        <v>314</v>
      </c>
      <c r="U83">
        <v>2010</v>
      </c>
      <c r="V83">
        <v>4054</v>
      </c>
    </row>
    <row r="84" spans="17:22">
      <c r="Q84">
        <v>3262</v>
      </c>
      <c r="R84">
        <v>1</v>
      </c>
      <c r="S84" t="s">
        <v>313</v>
      </c>
      <c r="T84" t="s">
        <v>314</v>
      </c>
      <c r="U84">
        <v>2011</v>
      </c>
      <c r="V84">
        <v>4131</v>
      </c>
    </row>
    <row r="85" spans="17:22">
      <c r="Q85">
        <v>3262</v>
      </c>
      <c r="R85">
        <v>1</v>
      </c>
      <c r="S85" t="s">
        <v>313</v>
      </c>
      <c r="T85" t="s">
        <v>314</v>
      </c>
      <c r="U85">
        <v>2012</v>
      </c>
      <c r="V85">
        <v>4533</v>
      </c>
    </row>
    <row r="86" spans="17:22">
      <c r="Q86">
        <v>3262</v>
      </c>
      <c r="R86">
        <v>1</v>
      </c>
      <c r="S86" t="s">
        <v>313</v>
      </c>
      <c r="T86" t="s">
        <v>314</v>
      </c>
      <c r="U86">
        <v>2013</v>
      </c>
      <c r="V86">
        <v>5260</v>
      </c>
    </row>
    <row r="87" spans="17:22">
      <c r="Q87">
        <v>3262</v>
      </c>
      <c r="R87">
        <v>1</v>
      </c>
      <c r="S87" t="s">
        <v>313</v>
      </c>
      <c r="T87" t="s">
        <v>314</v>
      </c>
      <c r="U87">
        <v>2014</v>
      </c>
      <c r="V87">
        <v>5416</v>
      </c>
    </row>
    <row r="88" spans="17:22">
      <c r="Q88">
        <v>3262</v>
      </c>
      <c r="R88">
        <v>1</v>
      </c>
      <c r="S88" t="s">
        <v>313</v>
      </c>
      <c r="T88" t="s">
        <v>314</v>
      </c>
      <c r="U88">
        <v>2015</v>
      </c>
      <c r="V88">
        <v>5464</v>
      </c>
    </row>
    <row r="89" spans="17:22">
      <c r="Q89">
        <v>3262</v>
      </c>
      <c r="R89">
        <v>1</v>
      </c>
      <c r="S89" t="s">
        <v>313</v>
      </c>
      <c r="T89" t="s">
        <v>314</v>
      </c>
      <c r="U89">
        <v>2016</v>
      </c>
      <c r="V89">
        <v>5602</v>
      </c>
    </row>
    <row r="90" spans="17:22">
      <c r="Q90">
        <v>3262</v>
      </c>
      <c r="R90">
        <v>1</v>
      </c>
      <c r="S90" t="s">
        <v>313</v>
      </c>
      <c r="T90" t="s">
        <v>314</v>
      </c>
      <c r="U90">
        <v>2017</v>
      </c>
      <c r="V90">
        <v>5926</v>
      </c>
    </row>
    <row r="91" spans="17:22">
      <c r="Q91">
        <v>3262</v>
      </c>
      <c r="R91">
        <v>1</v>
      </c>
      <c r="S91" t="s">
        <v>313</v>
      </c>
      <c r="T91" t="s">
        <v>314</v>
      </c>
      <c r="U91">
        <v>2018</v>
      </c>
      <c r="V91">
        <v>6003</v>
      </c>
    </row>
    <row r="92" spans="17:22">
      <c r="Q92">
        <v>3262</v>
      </c>
      <c r="R92">
        <v>1</v>
      </c>
      <c r="S92" t="s">
        <v>313</v>
      </c>
      <c r="T92" t="s">
        <v>314</v>
      </c>
      <c r="U92">
        <v>2019</v>
      </c>
      <c r="V92">
        <v>5560</v>
      </c>
    </row>
    <row r="93" spans="17:22">
      <c r="Q93">
        <v>3262</v>
      </c>
      <c r="R93">
        <v>1</v>
      </c>
      <c r="S93" t="s">
        <v>313</v>
      </c>
      <c r="T93" t="s">
        <v>314</v>
      </c>
      <c r="U93">
        <v>2020</v>
      </c>
      <c r="V93">
        <v>4805</v>
      </c>
    </row>
    <row r="94" spans="17:22">
      <c r="Q94">
        <v>3262</v>
      </c>
      <c r="R94">
        <v>1</v>
      </c>
      <c r="S94" t="s">
        <v>313</v>
      </c>
      <c r="T94" t="s">
        <v>314</v>
      </c>
      <c r="U94">
        <v>2021</v>
      </c>
      <c r="V94">
        <v>5111</v>
      </c>
    </row>
    <row r="95" spans="17:22">
      <c r="Q95">
        <v>3262</v>
      </c>
      <c r="R95">
        <v>1</v>
      </c>
      <c r="S95" t="s">
        <v>313</v>
      </c>
      <c r="T95" t="s">
        <v>314</v>
      </c>
      <c r="U95">
        <v>2022</v>
      </c>
      <c r="V95">
        <v>5066</v>
      </c>
    </row>
    <row r="96" spans="17:22">
      <c r="Q96">
        <v>3262</v>
      </c>
      <c r="R96">
        <v>1</v>
      </c>
      <c r="S96" t="s">
        <v>313</v>
      </c>
      <c r="T96" t="s">
        <v>314</v>
      </c>
      <c r="U96">
        <v>2023</v>
      </c>
      <c r="V96">
        <v>5350</v>
      </c>
    </row>
    <row r="97" spans="17:22">
      <c r="Q97">
        <v>3262</v>
      </c>
      <c r="R97">
        <v>1</v>
      </c>
      <c r="S97" t="s">
        <v>313</v>
      </c>
      <c r="T97" t="s">
        <v>314</v>
      </c>
      <c r="U97">
        <v>2024</v>
      </c>
      <c r="V97">
        <v>5147</v>
      </c>
    </row>
    <row r="98" spans="17:22">
      <c r="Q98">
        <v>3272</v>
      </c>
      <c r="R98">
        <v>1</v>
      </c>
      <c r="S98" t="s">
        <v>313</v>
      </c>
      <c r="T98" t="s">
        <v>314</v>
      </c>
      <c r="U98">
        <v>2001</v>
      </c>
      <c r="V98">
        <v>8879</v>
      </c>
    </row>
    <row r="99" spans="17:22">
      <c r="Q99">
        <v>3272</v>
      </c>
      <c r="R99">
        <v>1</v>
      </c>
      <c r="S99" t="s">
        <v>313</v>
      </c>
      <c r="T99" t="s">
        <v>314</v>
      </c>
      <c r="U99">
        <v>2002</v>
      </c>
      <c r="V99">
        <v>8436</v>
      </c>
    </row>
    <row r="100" spans="17:22">
      <c r="Q100">
        <v>3272</v>
      </c>
      <c r="R100">
        <v>1</v>
      </c>
      <c r="S100" t="s">
        <v>313</v>
      </c>
      <c r="T100" t="s">
        <v>314</v>
      </c>
      <c r="U100">
        <v>2003</v>
      </c>
      <c r="V100">
        <v>8200</v>
      </c>
    </row>
    <row r="101" spans="17:22">
      <c r="Q101">
        <v>3272</v>
      </c>
      <c r="R101">
        <v>1</v>
      </c>
      <c r="S101" t="s">
        <v>313</v>
      </c>
      <c r="T101" t="s">
        <v>314</v>
      </c>
      <c r="U101">
        <v>2004</v>
      </c>
      <c r="V101">
        <v>7302</v>
      </c>
    </row>
    <row r="102" spans="17:22">
      <c r="Q102">
        <v>3272</v>
      </c>
      <c r="R102">
        <v>1</v>
      </c>
      <c r="S102" t="s">
        <v>313</v>
      </c>
      <c r="T102" t="s">
        <v>314</v>
      </c>
      <c r="U102">
        <v>2005</v>
      </c>
      <c r="V102">
        <v>7177</v>
      </c>
    </row>
    <row r="103" spans="17:22">
      <c r="Q103">
        <v>3272</v>
      </c>
      <c r="R103">
        <v>1</v>
      </c>
      <c r="S103" t="s">
        <v>313</v>
      </c>
      <c r="T103" t="s">
        <v>314</v>
      </c>
      <c r="U103">
        <v>2006</v>
      </c>
      <c r="V103">
        <v>6099</v>
      </c>
    </row>
    <row r="104" spans="17:22">
      <c r="Q104">
        <v>3272</v>
      </c>
      <c r="R104">
        <v>1</v>
      </c>
      <c r="S104" t="s">
        <v>313</v>
      </c>
      <c r="T104" t="s">
        <v>314</v>
      </c>
      <c r="U104">
        <v>2007</v>
      </c>
      <c r="V104">
        <v>5640</v>
      </c>
    </row>
    <row r="105" spans="17:22">
      <c r="Q105">
        <v>3272</v>
      </c>
      <c r="R105">
        <v>1</v>
      </c>
      <c r="S105" t="s">
        <v>313</v>
      </c>
      <c r="T105" t="s">
        <v>314</v>
      </c>
      <c r="U105">
        <v>2008</v>
      </c>
      <c r="V105">
        <v>5326</v>
      </c>
    </row>
    <row r="106" spans="17:22">
      <c r="Q106">
        <v>3272</v>
      </c>
      <c r="R106">
        <v>1</v>
      </c>
      <c r="S106" t="s">
        <v>313</v>
      </c>
      <c r="T106" t="s">
        <v>314</v>
      </c>
      <c r="U106">
        <v>2009</v>
      </c>
      <c r="V106">
        <v>4334</v>
      </c>
    </row>
    <row r="107" spans="17:22">
      <c r="Q107">
        <v>3272</v>
      </c>
      <c r="R107">
        <v>1</v>
      </c>
      <c r="S107" t="s">
        <v>313</v>
      </c>
      <c r="T107" t="s">
        <v>314</v>
      </c>
      <c r="U107">
        <v>2010</v>
      </c>
      <c r="V107">
        <v>4258</v>
      </c>
    </row>
    <row r="108" spans="17:22">
      <c r="Q108">
        <v>3272</v>
      </c>
      <c r="R108">
        <v>1</v>
      </c>
      <c r="S108" t="s">
        <v>313</v>
      </c>
      <c r="T108" t="s">
        <v>314</v>
      </c>
      <c r="U108">
        <v>2011</v>
      </c>
      <c r="V108">
        <v>4210</v>
      </c>
    </row>
    <row r="109" spans="17:22">
      <c r="Q109">
        <v>3272</v>
      </c>
      <c r="R109">
        <v>1</v>
      </c>
      <c r="S109" t="s">
        <v>313</v>
      </c>
      <c r="T109" t="s">
        <v>314</v>
      </c>
      <c r="U109">
        <v>2012</v>
      </c>
      <c r="V109">
        <v>3022</v>
      </c>
    </row>
    <row r="110" spans="17:22">
      <c r="Q110">
        <v>3272</v>
      </c>
      <c r="R110">
        <v>1</v>
      </c>
      <c r="S110" t="s">
        <v>313</v>
      </c>
      <c r="T110" t="s">
        <v>314</v>
      </c>
      <c r="U110">
        <v>2013</v>
      </c>
      <c r="V110">
        <v>2881</v>
      </c>
    </row>
    <row r="111" spans="17:22">
      <c r="Q111">
        <v>3272</v>
      </c>
      <c r="R111">
        <v>1</v>
      </c>
      <c r="S111" t="s">
        <v>313</v>
      </c>
      <c r="T111" t="s">
        <v>314</v>
      </c>
      <c r="U111">
        <v>2014</v>
      </c>
      <c r="V111">
        <v>3055</v>
      </c>
    </row>
    <row r="112" spans="17:22">
      <c r="Q112">
        <v>3272</v>
      </c>
      <c r="R112">
        <v>1</v>
      </c>
      <c r="S112" t="s">
        <v>313</v>
      </c>
      <c r="T112" t="s">
        <v>314</v>
      </c>
      <c r="U112">
        <v>2015</v>
      </c>
      <c r="V112">
        <v>3310</v>
      </c>
    </row>
    <row r="113" spans="17:22">
      <c r="Q113">
        <v>3272</v>
      </c>
      <c r="R113">
        <v>1</v>
      </c>
      <c r="S113" t="s">
        <v>313</v>
      </c>
      <c r="T113" t="s">
        <v>314</v>
      </c>
      <c r="U113">
        <v>2016</v>
      </c>
      <c r="V113">
        <v>3049</v>
      </c>
    </row>
    <row r="114" spans="17:22">
      <c r="Q114">
        <v>3272</v>
      </c>
      <c r="R114">
        <v>1</v>
      </c>
      <c r="S114" t="s">
        <v>313</v>
      </c>
      <c r="T114" t="s">
        <v>314</v>
      </c>
      <c r="U114">
        <v>2017</v>
      </c>
      <c r="V114">
        <v>2970</v>
      </c>
    </row>
    <row r="115" spans="17:22">
      <c r="Q115">
        <v>3272</v>
      </c>
      <c r="R115">
        <v>1</v>
      </c>
      <c r="S115" t="s">
        <v>313</v>
      </c>
      <c r="T115" t="s">
        <v>314</v>
      </c>
      <c r="U115">
        <v>2018</v>
      </c>
      <c r="V115">
        <v>3185</v>
      </c>
    </row>
    <row r="116" spans="17:22">
      <c r="Q116">
        <v>3272</v>
      </c>
      <c r="R116">
        <v>1</v>
      </c>
      <c r="S116" t="s">
        <v>313</v>
      </c>
      <c r="T116" t="s">
        <v>314</v>
      </c>
      <c r="U116">
        <v>2019</v>
      </c>
      <c r="V116">
        <v>3279</v>
      </c>
    </row>
    <row r="117" spans="17:22">
      <c r="Q117">
        <v>3272</v>
      </c>
      <c r="R117">
        <v>1</v>
      </c>
      <c r="S117" t="s">
        <v>313</v>
      </c>
      <c r="T117" t="s">
        <v>314</v>
      </c>
      <c r="U117">
        <v>2020</v>
      </c>
      <c r="V117">
        <v>2788</v>
      </c>
    </row>
    <row r="118" spans="17:22">
      <c r="Q118">
        <v>3272</v>
      </c>
      <c r="R118">
        <v>1</v>
      </c>
      <c r="S118" t="s">
        <v>313</v>
      </c>
      <c r="T118" t="s">
        <v>314</v>
      </c>
      <c r="U118">
        <v>2021</v>
      </c>
      <c r="V118">
        <v>2848</v>
      </c>
    </row>
    <row r="119" spans="17:22">
      <c r="Q119">
        <v>3272</v>
      </c>
      <c r="R119">
        <v>1</v>
      </c>
      <c r="S119" t="s">
        <v>313</v>
      </c>
      <c r="T119" t="s">
        <v>314</v>
      </c>
      <c r="U119">
        <v>2022</v>
      </c>
      <c r="V119">
        <v>2815</v>
      </c>
    </row>
    <row r="120" spans="17:22">
      <c r="Q120">
        <v>3272</v>
      </c>
      <c r="R120">
        <v>1</v>
      </c>
      <c r="S120" t="s">
        <v>313</v>
      </c>
      <c r="T120" t="s">
        <v>314</v>
      </c>
      <c r="U120">
        <v>2023</v>
      </c>
      <c r="V120">
        <v>2803</v>
      </c>
    </row>
    <row r="121" spans="17:22">
      <c r="Q121">
        <v>3272</v>
      </c>
      <c r="R121">
        <v>1</v>
      </c>
      <c r="S121" t="s">
        <v>313</v>
      </c>
      <c r="T121" t="s">
        <v>314</v>
      </c>
      <c r="U121">
        <v>2024</v>
      </c>
      <c r="V121">
        <v>2802</v>
      </c>
    </row>
    <row r="122" spans="17:22">
      <c r="Q122">
        <v>3311</v>
      </c>
      <c r="R122">
        <v>1</v>
      </c>
      <c r="S122" t="s">
        <v>321</v>
      </c>
      <c r="T122" t="s">
        <v>314</v>
      </c>
      <c r="U122">
        <v>2001</v>
      </c>
      <c r="V122">
        <v>7341</v>
      </c>
    </row>
    <row r="123" spans="17:22">
      <c r="Q123">
        <v>3311</v>
      </c>
      <c r="R123">
        <v>1</v>
      </c>
      <c r="S123" t="s">
        <v>321</v>
      </c>
      <c r="T123" t="s">
        <v>314</v>
      </c>
      <c r="U123">
        <v>2002</v>
      </c>
      <c r="V123">
        <v>7068</v>
      </c>
    </row>
    <row r="124" spans="17:22">
      <c r="Q124">
        <v>3311</v>
      </c>
      <c r="R124">
        <v>1</v>
      </c>
      <c r="S124" t="s">
        <v>321</v>
      </c>
      <c r="T124" t="s">
        <v>314</v>
      </c>
      <c r="U124">
        <v>2003</v>
      </c>
      <c r="V124">
        <v>6615</v>
      </c>
    </row>
    <row r="125" spans="17:22">
      <c r="Q125">
        <v>3311</v>
      </c>
      <c r="R125">
        <v>1</v>
      </c>
      <c r="S125" t="s">
        <v>321</v>
      </c>
      <c r="T125" t="s">
        <v>314</v>
      </c>
      <c r="U125">
        <v>2004</v>
      </c>
      <c r="V125">
        <v>5963</v>
      </c>
    </row>
    <row r="126" spans="17:22">
      <c r="Q126">
        <v>3311</v>
      </c>
      <c r="R126">
        <v>1</v>
      </c>
      <c r="S126" t="s">
        <v>321</v>
      </c>
      <c r="T126" t="s">
        <v>314</v>
      </c>
      <c r="U126">
        <v>2005</v>
      </c>
      <c r="V126">
        <v>5776</v>
      </c>
    </row>
    <row r="127" spans="17:22">
      <c r="Q127">
        <v>3311</v>
      </c>
      <c r="R127">
        <v>1</v>
      </c>
      <c r="S127" t="s">
        <v>321</v>
      </c>
      <c r="T127" t="s">
        <v>314</v>
      </c>
      <c r="U127">
        <v>2006</v>
      </c>
      <c r="V127">
        <v>5754</v>
      </c>
    </row>
    <row r="128" spans="17:22">
      <c r="Q128">
        <v>3311</v>
      </c>
      <c r="R128">
        <v>1</v>
      </c>
      <c r="S128" t="s">
        <v>321</v>
      </c>
      <c r="T128" t="s">
        <v>314</v>
      </c>
      <c r="U128">
        <v>2007</v>
      </c>
      <c r="V128">
        <v>5937</v>
      </c>
    </row>
    <row r="129" spans="17:22">
      <c r="Q129">
        <v>3311</v>
      </c>
      <c r="R129">
        <v>1</v>
      </c>
      <c r="S129" t="s">
        <v>321</v>
      </c>
      <c r="T129" t="s">
        <v>314</v>
      </c>
      <c r="U129">
        <v>2008</v>
      </c>
      <c r="V129">
        <v>5965</v>
      </c>
    </row>
    <row r="130" spans="17:22">
      <c r="Q130">
        <v>3311</v>
      </c>
      <c r="R130">
        <v>1</v>
      </c>
      <c r="S130" t="s">
        <v>321</v>
      </c>
      <c r="T130" t="s">
        <v>314</v>
      </c>
      <c r="U130">
        <v>2009</v>
      </c>
      <c r="V130">
        <v>4547</v>
      </c>
    </row>
    <row r="131" spans="17:22">
      <c r="Q131">
        <v>3311</v>
      </c>
      <c r="R131">
        <v>1</v>
      </c>
      <c r="S131" t="s">
        <v>321</v>
      </c>
      <c r="T131" t="s">
        <v>314</v>
      </c>
      <c r="U131">
        <v>2010</v>
      </c>
      <c r="V131">
        <v>5155</v>
      </c>
    </row>
    <row r="132" spans="17:22">
      <c r="Q132">
        <v>3311</v>
      </c>
      <c r="R132">
        <v>1</v>
      </c>
      <c r="S132" t="s">
        <v>321</v>
      </c>
      <c r="T132" t="s">
        <v>314</v>
      </c>
      <c r="U132">
        <v>2011</v>
      </c>
      <c r="V132">
        <v>6303</v>
      </c>
    </row>
    <row r="133" spans="17:22">
      <c r="Q133">
        <v>3311</v>
      </c>
      <c r="R133">
        <v>1</v>
      </c>
      <c r="S133" t="s">
        <v>321</v>
      </c>
      <c r="T133" t="s">
        <v>314</v>
      </c>
      <c r="U133">
        <v>2012</v>
      </c>
      <c r="V133">
        <v>6107</v>
      </c>
    </row>
    <row r="134" spans="17:22">
      <c r="Q134">
        <v>3311</v>
      </c>
      <c r="R134">
        <v>1</v>
      </c>
      <c r="S134" t="s">
        <v>321</v>
      </c>
      <c r="T134" t="s">
        <v>314</v>
      </c>
      <c r="U134">
        <v>2013</v>
      </c>
      <c r="V134">
        <v>5981</v>
      </c>
    </row>
    <row r="135" spans="17:22">
      <c r="Q135">
        <v>3311</v>
      </c>
      <c r="R135">
        <v>1</v>
      </c>
      <c r="S135" t="s">
        <v>321</v>
      </c>
      <c r="T135" t="s">
        <v>314</v>
      </c>
      <c r="U135">
        <v>2014</v>
      </c>
      <c r="V135">
        <v>6002</v>
      </c>
    </row>
    <row r="136" spans="17:22">
      <c r="Q136">
        <v>3311</v>
      </c>
      <c r="R136">
        <v>1</v>
      </c>
      <c r="S136" t="s">
        <v>321</v>
      </c>
      <c r="T136" t="s">
        <v>314</v>
      </c>
      <c r="U136">
        <v>2015</v>
      </c>
      <c r="V136">
        <v>5523</v>
      </c>
    </row>
    <row r="137" spans="17:22">
      <c r="Q137">
        <v>3311</v>
      </c>
      <c r="R137">
        <v>1</v>
      </c>
      <c r="S137" t="s">
        <v>321</v>
      </c>
      <c r="T137" t="s">
        <v>314</v>
      </c>
      <c r="U137">
        <v>2016</v>
      </c>
      <c r="V137">
        <v>5258</v>
      </c>
    </row>
    <row r="138" spans="17:22">
      <c r="Q138">
        <v>3311</v>
      </c>
      <c r="R138">
        <v>1</v>
      </c>
      <c r="S138" t="s">
        <v>321</v>
      </c>
      <c r="T138" t="s">
        <v>314</v>
      </c>
      <c r="U138">
        <v>2017</v>
      </c>
      <c r="V138">
        <v>5169</v>
      </c>
    </row>
    <row r="139" spans="17:22">
      <c r="Q139">
        <v>3311</v>
      </c>
      <c r="R139">
        <v>1</v>
      </c>
      <c r="S139" t="s">
        <v>321</v>
      </c>
      <c r="T139" t="s">
        <v>314</v>
      </c>
      <c r="U139">
        <v>2018</v>
      </c>
      <c r="V139">
        <v>5228</v>
      </c>
    </row>
    <row r="140" spans="17:22">
      <c r="Q140">
        <v>3311</v>
      </c>
      <c r="R140">
        <v>1</v>
      </c>
      <c r="S140" t="s">
        <v>321</v>
      </c>
      <c r="T140" t="s">
        <v>314</v>
      </c>
      <c r="U140">
        <v>2019</v>
      </c>
      <c r="V140">
        <v>5155</v>
      </c>
    </row>
    <row r="141" spans="17:22">
      <c r="Q141">
        <v>3311</v>
      </c>
      <c r="R141">
        <v>1</v>
      </c>
      <c r="S141" t="s">
        <v>321</v>
      </c>
      <c r="T141" t="s">
        <v>314</v>
      </c>
      <c r="U141">
        <v>2020</v>
      </c>
      <c r="V141">
        <v>3763</v>
      </c>
    </row>
    <row r="142" spans="17:22">
      <c r="Q142">
        <v>3311</v>
      </c>
      <c r="R142">
        <v>1</v>
      </c>
      <c r="S142" t="s">
        <v>321</v>
      </c>
      <c r="T142" t="s">
        <v>314</v>
      </c>
      <c r="U142">
        <v>2021</v>
      </c>
      <c r="V142">
        <v>3358</v>
      </c>
    </row>
    <row r="143" spans="17:22">
      <c r="Q143">
        <v>3311</v>
      </c>
      <c r="R143">
        <v>1</v>
      </c>
      <c r="S143" t="s">
        <v>321</v>
      </c>
      <c r="T143" t="s">
        <v>314</v>
      </c>
      <c r="U143">
        <v>2022</v>
      </c>
      <c r="V143">
        <v>3270</v>
      </c>
    </row>
    <row r="144" spans="17:22">
      <c r="Q144">
        <v>3311</v>
      </c>
      <c r="R144">
        <v>1</v>
      </c>
      <c r="S144" t="s">
        <v>321</v>
      </c>
      <c r="T144" t="s">
        <v>314</v>
      </c>
      <c r="U144">
        <v>2023</v>
      </c>
      <c r="V144">
        <v>3369</v>
      </c>
    </row>
    <row r="145" spans="17:22">
      <c r="Q145">
        <v>3311</v>
      </c>
      <c r="R145">
        <v>1</v>
      </c>
      <c r="S145" t="s">
        <v>321</v>
      </c>
      <c r="T145" t="s">
        <v>314</v>
      </c>
      <c r="U145">
        <v>2024</v>
      </c>
      <c r="V145">
        <v>3258</v>
      </c>
    </row>
    <row r="146" spans="17:22">
      <c r="Q146">
        <v>3312</v>
      </c>
      <c r="R146">
        <v>1</v>
      </c>
      <c r="S146" t="s">
        <v>321</v>
      </c>
      <c r="T146" t="s">
        <v>314</v>
      </c>
      <c r="U146">
        <v>2001</v>
      </c>
      <c r="V146">
        <v>3124</v>
      </c>
    </row>
    <row r="147" spans="17:22">
      <c r="Q147">
        <v>3312</v>
      </c>
      <c r="R147">
        <v>1</v>
      </c>
      <c r="S147" t="s">
        <v>321</v>
      </c>
      <c r="T147" t="s">
        <v>314</v>
      </c>
      <c r="U147">
        <v>2002</v>
      </c>
      <c r="V147">
        <v>2591</v>
      </c>
    </row>
    <row r="148" spans="17:22">
      <c r="Q148">
        <v>3312</v>
      </c>
      <c r="R148">
        <v>1</v>
      </c>
      <c r="S148" t="s">
        <v>321</v>
      </c>
      <c r="T148" t="s">
        <v>314</v>
      </c>
      <c r="U148">
        <v>2003</v>
      </c>
      <c r="V148">
        <v>2399</v>
      </c>
    </row>
    <row r="149" spans="17:22">
      <c r="Q149">
        <v>3312</v>
      </c>
      <c r="R149">
        <v>1</v>
      </c>
      <c r="S149" t="s">
        <v>321</v>
      </c>
      <c r="T149" t="s">
        <v>314</v>
      </c>
      <c r="U149">
        <v>2004</v>
      </c>
      <c r="V149">
        <v>2547</v>
      </c>
    </row>
    <row r="150" spans="17:22">
      <c r="Q150">
        <v>3312</v>
      </c>
      <c r="R150">
        <v>1</v>
      </c>
      <c r="S150" t="s">
        <v>321</v>
      </c>
      <c r="T150" t="s">
        <v>314</v>
      </c>
      <c r="U150">
        <v>2005</v>
      </c>
      <c r="V150">
        <v>2632</v>
      </c>
    </row>
    <row r="151" spans="17:22">
      <c r="Q151">
        <v>3312</v>
      </c>
      <c r="R151">
        <v>1</v>
      </c>
      <c r="S151" t="s">
        <v>321</v>
      </c>
      <c r="T151" t="s">
        <v>314</v>
      </c>
      <c r="U151">
        <v>2006</v>
      </c>
      <c r="V151">
        <v>2454</v>
      </c>
    </row>
    <row r="152" spans="17:22">
      <c r="Q152">
        <v>3312</v>
      </c>
      <c r="R152">
        <v>1</v>
      </c>
      <c r="S152" t="s">
        <v>321</v>
      </c>
      <c r="T152" t="s">
        <v>314</v>
      </c>
      <c r="U152">
        <v>2007</v>
      </c>
      <c r="V152">
        <v>2379</v>
      </c>
    </row>
    <row r="153" spans="17:22">
      <c r="Q153">
        <v>3312</v>
      </c>
      <c r="R153">
        <v>1</v>
      </c>
      <c r="S153" t="s">
        <v>321</v>
      </c>
      <c r="T153" t="s">
        <v>314</v>
      </c>
      <c r="U153">
        <v>2008</v>
      </c>
      <c r="V153">
        <v>1953</v>
      </c>
    </row>
    <row r="154" spans="17:22">
      <c r="Q154">
        <v>3312</v>
      </c>
      <c r="R154">
        <v>1</v>
      </c>
      <c r="S154" t="s">
        <v>321</v>
      </c>
      <c r="T154" t="s">
        <v>314</v>
      </c>
      <c r="U154">
        <v>2009</v>
      </c>
      <c r="V154">
        <v>1366</v>
      </c>
    </row>
    <row r="155" spans="17:22">
      <c r="Q155">
        <v>3312</v>
      </c>
      <c r="R155">
        <v>1</v>
      </c>
      <c r="S155" t="s">
        <v>321</v>
      </c>
      <c r="T155" t="s">
        <v>314</v>
      </c>
      <c r="U155">
        <v>2010</v>
      </c>
      <c r="V155">
        <v>1450</v>
      </c>
    </row>
    <row r="156" spans="17:22">
      <c r="Q156">
        <v>3312</v>
      </c>
      <c r="R156">
        <v>1</v>
      </c>
      <c r="S156" t="s">
        <v>321</v>
      </c>
      <c r="T156" t="s">
        <v>314</v>
      </c>
      <c r="U156">
        <v>2011</v>
      </c>
      <c r="V156">
        <v>1561</v>
      </c>
    </row>
    <row r="157" spans="17:22">
      <c r="Q157">
        <v>3312</v>
      </c>
      <c r="R157">
        <v>1</v>
      </c>
      <c r="S157" t="s">
        <v>321</v>
      </c>
      <c r="T157" t="s">
        <v>314</v>
      </c>
      <c r="U157">
        <v>2012</v>
      </c>
      <c r="V157">
        <v>1604</v>
      </c>
    </row>
    <row r="158" spans="17:22">
      <c r="Q158">
        <v>3312</v>
      </c>
      <c r="R158">
        <v>1</v>
      </c>
      <c r="S158" t="s">
        <v>321</v>
      </c>
      <c r="T158" t="s">
        <v>314</v>
      </c>
      <c r="U158">
        <v>2013</v>
      </c>
      <c r="V158">
        <v>1617</v>
      </c>
    </row>
    <row r="159" spans="17:22">
      <c r="Q159">
        <v>3312</v>
      </c>
      <c r="R159">
        <v>1</v>
      </c>
      <c r="S159" t="s">
        <v>321</v>
      </c>
      <c r="T159" t="s">
        <v>314</v>
      </c>
      <c r="U159">
        <v>2014</v>
      </c>
      <c r="V159">
        <v>1671</v>
      </c>
    </row>
    <row r="160" spans="17:22">
      <c r="Q160">
        <v>3312</v>
      </c>
      <c r="R160">
        <v>1</v>
      </c>
      <c r="S160" t="s">
        <v>321</v>
      </c>
      <c r="T160" t="s">
        <v>314</v>
      </c>
      <c r="U160">
        <v>2015</v>
      </c>
      <c r="V160">
        <v>1747</v>
      </c>
    </row>
    <row r="161" spans="17:22">
      <c r="Q161">
        <v>3312</v>
      </c>
      <c r="R161">
        <v>1</v>
      </c>
      <c r="S161" t="s">
        <v>321</v>
      </c>
      <c r="T161" t="s">
        <v>314</v>
      </c>
      <c r="U161">
        <v>2016</v>
      </c>
      <c r="V161">
        <v>1751</v>
      </c>
    </row>
    <row r="162" spans="17:22">
      <c r="Q162">
        <v>3312</v>
      </c>
      <c r="R162">
        <v>1</v>
      </c>
      <c r="S162" t="s">
        <v>321</v>
      </c>
      <c r="T162" t="s">
        <v>314</v>
      </c>
      <c r="U162">
        <v>2017</v>
      </c>
      <c r="V162">
        <v>1789</v>
      </c>
    </row>
    <row r="163" spans="17:22">
      <c r="Q163">
        <v>3312</v>
      </c>
      <c r="R163">
        <v>1</v>
      </c>
      <c r="S163" t="s">
        <v>321</v>
      </c>
      <c r="T163" t="s">
        <v>314</v>
      </c>
      <c r="U163">
        <v>2018</v>
      </c>
      <c r="V163">
        <v>1790</v>
      </c>
    </row>
    <row r="164" spans="17:22">
      <c r="Q164">
        <v>3312</v>
      </c>
      <c r="R164">
        <v>1</v>
      </c>
      <c r="S164" t="s">
        <v>321</v>
      </c>
      <c r="T164" t="s">
        <v>314</v>
      </c>
      <c r="U164">
        <v>2019</v>
      </c>
      <c r="V164">
        <v>1745</v>
      </c>
    </row>
    <row r="165" spans="17:22">
      <c r="Q165">
        <v>3312</v>
      </c>
      <c r="R165">
        <v>1</v>
      </c>
      <c r="S165" t="s">
        <v>321</v>
      </c>
      <c r="T165" t="s">
        <v>314</v>
      </c>
      <c r="U165">
        <v>2020</v>
      </c>
      <c r="V165">
        <v>1711</v>
      </c>
    </row>
    <row r="166" spans="17:22">
      <c r="Q166">
        <v>3312</v>
      </c>
      <c r="R166">
        <v>1</v>
      </c>
      <c r="S166" t="s">
        <v>321</v>
      </c>
      <c r="T166" t="s">
        <v>314</v>
      </c>
      <c r="U166">
        <v>2021</v>
      </c>
      <c r="V166">
        <v>1747</v>
      </c>
    </row>
    <row r="167" spans="17:22">
      <c r="Q167">
        <v>3312</v>
      </c>
      <c r="R167">
        <v>1</v>
      </c>
      <c r="S167" t="s">
        <v>321</v>
      </c>
      <c r="T167" t="s">
        <v>314</v>
      </c>
      <c r="U167">
        <v>2022</v>
      </c>
      <c r="V167">
        <v>1824</v>
      </c>
    </row>
    <row r="168" spans="17:22">
      <c r="Q168">
        <v>3312</v>
      </c>
      <c r="R168">
        <v>1</v>
      </c>
      <c r="S168" t="s">
        <v>321</v>
      </c>
      <c r="T168" t="s">
        <v>314</v>
      </c>
      <c r="U168">
        <v>2023</v>
      </c>
      <c r="V168">
        <v>1965</v>
      </c>
    </row>
    <row r="169" spans="17:22">
      <c r="Q169">
        <v>3312</v>
      </c>
      <c r="R169">
        <v>1</v>
      </c>
      <c r="S169" t="s">
        <v>321</v>
      </c>
      <c r="T169" t="s">
        <v>314</v>
      </c>
      <c r="U169">
        <v>2024</v>
      </c>
      <c r="V169">
        <v>1974</v>
      </c>
    </row>
    <row r="170" spans="17:22">
      <c r="Q170">
        <v>3313</v>
      </c>
      <c r="R170">
        <v>1</v>
      </c>
      <c r="S170" t="s">
        <v>321</v>
      </c>
      <c r="T170" t="s">
        <v>314</v>
      </c>
      <c r="U170">
        <v>2001</v>
      </c>
      <c r="V170">
        <v>2167</v>
      </c>
    </row>
    <row r="171" spans="17:22">
      <c r="Q171">
        <v>3313</v>
      </c>
      <c r="R171">
        <v>1</v>
      </c>
      <c r="S171" t="s">
        <v>321</v>
      </c>
      <c r="T171" t="s">
        <v>314</v>
      </c>
      <c r="U171">
        <v>2002</v>
      </c>
      <c r="V171">
        <v>1742</v>
      </c>
    </row>
    <row r="172" spans="17:22">
      <c r="Q172">
        <v>3313</v>
      </c>
      <c r="R172">
        <v>1</v>
      </c>
      <c r="S172" t="s">
        <v>321</v>
      </c>
      <c r="T172" t="s">
        <v>314</v>
      </c>
      <c r="U172">
        <v>2003</v>
      </c>
      <c r="V172">
        <v>1861</v>
      </c>
    </row>
    <row r="173" spans="17:22">
      <c r="Q173">
        <v>3313</v>
      </c>
      <c r="R173">
        <v>1</v>
      </c>
      <c r="S173" t="s">
        <v>321</v>
      </c>
      <c r="T173" t="s">
        <v>314</v>
      </c>
      <c r="U173">
        <v>2004</v>
      </c>
      <c r="V173">
        <v>1893</v>
      </c>
    </row>
    <row r="174" spans="17:22">
      <c r="Q174">
        <v>3313</v>
      </c>
      <c r="R174">
        <v>1</v>
      </c>
      <c r="S174" t="s">
        <v>321</v>
      </c>
      <c r="T174" t="s">
        <v>314</v>
      </c>
      <c r="U174">
        <v>2005</v>
      </c>
      <c r="V174">
        <v>1658</v>
      </c>
    </row>
    <row r="175" spans="17:22">
      <c r="Q175">
        <v>3313</v>
      </c>
      <c r="R175">
        <v>1</v>
      </c>
      <c r="S175" t="s">
        <v>321</v>
      </c>
      <c r="T175" t="s">
        <v>314</v>
      </c>
      <c r="U175">
        <v>2006</v>
      </c>
      <c r="V175">
        <v>1713</v>
      </c>
    </row>
    <row r="176" spans="17:22">
      <c r="Q176">
        <v>3313</v>
      </c>
      <c r="R176">
        <v>1</v>
      </c>
      <c r="S176" t="s">
        <v>321</v>
      </c>
      <c r="T176" t="s">
        <v>314</v>
      </c>
      <c r="U176">
        <v>2007</v>
      </c>
      <c r="V176">
        <v>1731</v>
      </c>
    </row>
    <row r="177" spans="17:22">
      <c r="Q177">
        <v>3313</v>
      </c>
      <c r="R177">
        <v>1</v>
      </c>
      <c r="S177" t="s">
        <v>321</v>
      </c>
      <c r="T177" t="s">
        <v>314</v>
      </c>
      <c r="U177">
        <v>2008</v>
      </c>
      <c r="V177">
        <v>1727</v>
      </c>
    </row>
    <row r="178" spans="17:22">
      <c r="Q178">
        <v>3313</v>
      </c>
      <c r="R178">
        <v>1</v>
      </c>
      <c r="S178" t="s">
        <v>321</v>
      </c>
      <c r="T178" t="s">
        <v>314</v>
      </c>
      <c r="U178">
        <v>2009</v>
      </c>
      <c r="V178">
        <v>1624</v>
      </c>
    </row>
    <row r="179" spans="17:22">
      <c r="Q179">
        <v>3313</v>
      </c>
      <c r="R179">
        <v>1</v>
      </c>
      <c r="S179" t="s">
        <v>321</v>
      </c>
      <c r="T179" t="s">
        <v>314</v>
      </c>
      <c r="U179">
        <v>2010</v>
      </c>
      <c r="V179">
        <v>1652</v>
      </c>
    </row>
    <row r="180" spans="17:22">
      <c r="Q180">
        <v>3313</v>
      </c>
      <c r="R180">
        <v>1</v>
      </c>
      <c r="S180" t="s">
        <v>321</v>
      </c>
      <c r="T180" t="s">
        <v>314</v>
      </c>
      <c r="U180">
        <v>2011</v>
      </c>
      <c r="V180">
        <v>1817</v>
      </c>
    </row>
    <row r="181" spans="17:22">
      <c r="Q181">
        <v>3313</v>
      </c>
      <c r="R181">
        <v>1</v>
      </c>
      <c r="S181" t="s">
        <v>321</v>
      </c>
      <c r="T181" t="s">
        <v>314</v>
      </c>
      <c r="U181">
        <v>2012</v>
      </c>
      <c r="V181">
        <v>1807</v>
      </c>
    </row>
    <row r="182" spans="17:22">
      <c r="Q182">
        <v>3313</v>
      </c>
      <c r="R182">
        <v>1</v>
      </c>
      <c r="S182" t="s">
        <v>321</v>
      </c>
      <c r="T182" t="s">
        <v>314</v>
      </c>
      <c r="U182">
        <v>2013</v>
      </c>
      <c r="V182">
        <v>2343</v>
      </c>
    </row>
    <row r="183" spans="17:22">
      <c r="Q183">
        <v>3313</v>
      </c>
      <c r="R183">
        <v>1</v>
      </c>
      <c r="S183" t="s">
        <v>321</v>
      </c>
      <c r="T183" t="s">
        <v>314</v>
      </c>
      <c r="U183">
        <v>2014</v>
      </c>
      <c r="V183">
        <v>2498</v>
      </c>
    </row>
    <row r="184" spans="17:22">
      <c r="Q184">
        <v>3313</v>
      </c>
      <c r="R184">
        <v>1</v>
      </c>
      <c r="S184" t="s">
        <v>321</v>
      </c>
      <c r="T184" t="s">
        <v>314</v>
      </c>
      <c r="U184">
        <v>2015</v>
      </c>
      <c r="V184">
        <v>3148</v>
      </c>
    </row>
    <row r="185" spans="17:22">
      <c r="Q185">
        <v>3313</v>
      </c>
      <c r="R185">
        <v>1</v>
      </c>
      <c r="S185" t="s">
        <v>321</v>
      </c>
      <c r="T185" t="s">
        <v>314</v>
      </c>
      <c r="U185">
        <v>2016</v>
      </c>
      <c r="V185">
        <v>3229</v>
      </c>
    </row>
    <row r="186" spans="17:22">
      <c r="Q186">
        <v>3313</v>
      </c>
      <c r="R186">
        <v>1</v>
      </c>
      <c r="S186" t="s">
        <v>321</v>
      </c>
      <c r="T186" t="s">
        <v>314</v>
      </c>
      <c r="U186">
        <v>2017</v>
      </c>
      <c r="V186">
        <v>3434</v>
      </c>
    </row>
    <row r="187" spans="17:22">
      <c r="Q187">
        <v>3313</v>
      </c>
      <c r="R187">
        <v>1</v>
      </c>
      <c r="S187" t="s">
        <v>321</v>
      </c>
      <c r="T187" t="s">
        <v>314</v>
      </c>
      <c r="U187">
        <v>2018</v>
      </c>
      <c r="V187">
        <v>3436</v>
      </c>
    </row>
    <row r="188" spans="17:22">
      <c r="Q188">
        <v>3313</v>
      </c>
      <c r="R188">
        <v>1</v>
      </c>
      <c r="S188" t="s">
        <v>321</v>
      </c>
      <c r="T188" t="s">
        <v>314</v>
      </c>
      <c r="U188">
        <v>2019</v>
      </c>
      <c r="V188">
        <v>3361</v>
      </c>
    </row>
    <row r="189" spans="17:22">
      <c r="Q189">
        <v>3313</v>
      </c>
      <c r="R189">
        <v>1</v>
      </c>
      <c r="S189" t="s">
        <v>321</v>
      </c>
      <c r="T189" t="s">
        <v>314</v>
      </c>
      <c r="U189">
        <v>2020</v>
      </c>
      <c r="V189">
        <v>2706</v>
      </c>
    </row>
    <row r="190" spans="17:22">
      <c r="Q190">
        <v>3313</v>
      </c>
      <c r="R190">
        <v>1</v>
      </c>
      <c r="S190" t="s">
        <v>321</v>
      </c>
      <c r="T190" t="s">
        <v>314</v>
      </c>
      <c r="U190">
        <v>2021</v>
      </c>
      <c r="V190">
        <v>2811</v>
      </c>
    </row>
    <row r="191" spans="17:22">
      <c r="Q191">
        <v>3313</v>
      </c>
      <c r="R191">
        <v>1</v>
      </c>
      <c r="S191" t="s">
        <v>321</v>
      </c>
      <c r="T191" t="s">
        <v>314</v>
      </c>
      <c r="U191">
        <v>2022</v>
      </c>
      <c r="V191">
        <v>2851</v>
      </c>
    </row>
    <row r="192" spans="17:22">
      <c r="Q192">
        <v>3313</v>
      </c>
      <c r="R192">
        <v>1</v>
      </c>
      <c r="S192" t="s">
        <v>321</v>
      </c>
      <c r="T192" t="s">
        <v>314</v>
      </c>
      <c r="U192">
        <v>2023</v>
      </c>
      <c r="V192">
        <v>2719</v>
      </c>
    </row>
    <row r="193" spans="17:22">
      <c r="Q193">
        <v>3313</v>
      </c>
      <c r="R193">
        <v>1</v>
      </c>
      <c r="S193" t="s">
        <v>321</v>
      </c>
      <c r="T193" t="s">
        <v>314</v>
      </c>
      <c r="U193">
        <v>2024</v>
      </c>
      <c r="V193">
        <v>2698</v>
      </c>
    </row>
    <row r="194" spans="17:22">
      <c r="Q194">
        <v>3314</v>
      </c>
      <c r="R194">
        <v>1</v>
      </c>
      <c r="S194" t="s">
        <v>321</v>
      </c>
      <c r="T194" t="s">
        <v>314</v>
      </c>
      <c r="U194">
        <v>2001</v>
      </c>
      <c r="V194">
        <v>2746</v>
      </c>
    </row>
    <row r="195" spans="17:22">
      <c r="Q195">
        <v>3314</v>
      </c>
      <c r="R195">
        <v>1</v>
      </c>
      <c r="S195" t="s">
        <v>321</v>
      </c>
      <c r="T195" t="s">
        <v>314</v>
      </c>
      <c r="U195">
        <v>2002</v>
      </c>
      <c r="V195">
        <v>2347</v>
      </c>
    </row>
    <row r="196" spans="17:22">
      <c r="Q196">
        <v>3314</v>
      </c>
      <c r="R196">
        <v>1</v>
      </c>
      <c r="S196" t="s">
        <v>321</v>
      </c>
      <c r="T196" t="s">
        <v>314</v>
      </c>
      <c r="U196">
        <v>2003</v>
      </c>
      <c r="V196">
        <v>2260</v>
      </c>
    </row>
    <row r="197" spans="17:22">
      <c r="Q197">
        <v>3314</v>
      </c>
      <c r="R197">
        <v>1</v>
      </c>
      <c r="S197" t="s">
        <v>321</v>
      </c>
      <c r="T197" t="s">
        <v>314</v>
      </c>
      <c r="U197">
        <v>2004</v>
      </c>
      <c r="V197">
        <v>2335</v>
      </c>
    </row>
    <row r="198" spans="17:22">
      <c r="Q198">
        <v>3314</v>
      </c>
      <c r="R198">
        <v>1</v>
      </c>
      <c r="S198" t="s">
        <v>321</v>
      </c>
      <c r="T198" t="s">
        <v>314</v>
      </c>
      <c r="U198">
        <v>2005</v>
      </c>
      <c r="V198">
        <v>2336</v>
      </c>
    </row>
    <row r="199" spans="17:22">
      <c r="Q199">
        <v>3314</v>
      </c>
      <c r="R199">
        <v>1</v>
      </c>
      <c r="S199" t="s">
        <v>321</v>
      </c>
      <c r="T199" t="s">
        <v>314</v>
      </c>
      <c r="U199">
        <v>2006</v>
      </c>
      <c r="V199">
        <v>2184</v>
      </c>
    </row>
    <row r="200" spans="17:22">
      <c r="Q200">
        <v>3314</v>
      </c>
      <c r="R200">
        <v>1</v>
      </c>
      <c r="S200" t="s">
        <v>321</v>
      </c>
      <c r="T200" t="s">
        <v>314</v>
      </c>
      <c r="U200">
        <v>2007</v>
      </c>
      <c r="V200">
        <v>2105</v>
      </c>
    </row>
    <row r="201" spans="17:22">
      <c r="Q201">
        <v>3314</v>
      </c>
      <c r="R201">
        <v>1</v>
      </c>
      <c r="S201" t="s">
        <v>321</v>
      </c>
      <c r="T201" t="s">
        <v>314</v>
      </c>
      <c r="U201">
        <v>2008</v>
      </c>
      <c r="V201">
        <v>1920</v>
      </c>
    </row>
    <row r="202" spans="17:22">
      <c r="Q202">
        <v>3314</v>
      </c>
      <c r="R202">
        <v>1</v>
      </c>
      <c r="S202" t="s">
        <v>321</v>
      </c>
      <c r="T202" t="s">
        <v>314</v>
      </c>
      <c r="U202">
        <v>2009</v>
      </c>
      <c r="V202">
        <v>1357</v>
      </c>
    </row>
    <row r="203" spans="17:22">
      <c r="Q203">
        <v>3314</v>
      </c>
      <c r="R203">
        <v>1</v>
      </c>
      <c r="S203" t="s">
        <v>321</v>
      </c>
      <c r="T203" t="s">
        <v>314</v>
      </c>
      <c r="U203">
        <v>2010</v>
      </c>
      <c r="V203">
        <v>1387</v>
      </c>
    </row>
    <row r="204" spans="17:22">
      <c r="Q204">
        <v>3314</v>
      </c>
      <c r="R204">
        <v>1</v>
      </c>
      <c r="S204" t="s">
        <v>321</v>
      </c>
      <c r="T204" t="s">
        <v>314</v>
      </c>
      <c r="U204">
        <v>2011</v>
      </c>
      <c r="V204">
        <v>1412</v>
      </c>
    </row>
    <row r="205" spans="17:22">
      <c r="Q205">
        <v>3314</v>
      </c>
      <c r="R205">
        <v>1</v>
      </c>
      <c r="S205" t="s">
        <v>321</v>
      </c>
      <c r="T205" t="s">
        <v>314</v>
      </c>
      <c r="U205">
        <v>2012</v>
      </c>
      <c r="V205">
        <v>1366</v>
      </c>
    </row>
    <row r="206" spans="17:22">
      <c r="Q206">
        <v>3314</v>
      </c>
      <c r="R206">
        <v>1</v>
      </c>
      <c r="S206" t="s">
        <v>321</v>
      </c>
      <c r="T206" t="s">
        <v>314</v>
      </c>
      <c r="U206">
        <v>2013</v>
      </c>
      <c r="V206">
        <v>1393</v>
      </c>
    </row>
    <row r="207" spans="17:22">
      <c r="Q207">
        <v>3314</v>
      </c>
      <c r="R207">
        <v>1</v>
      </c>
      <c r="S207" t="s">
        <v>321</v>
      </c>
      <c r="T207" t="s">
        <v>314</v>
      </c>
      <c r="U207">
        <v>2014</v>
      </c>
      <c r="V207">
        <v>1406</v>
      </c>
    </row>
    <row r="208" spans="17:22">
      <c r="Q208">
        <v>3314</v>
      </c>
      <c r="R208">
        <v>1</v>
      </c>
      <c r="S208" t="s">
        <v>321</v>
      </c>
      <c r="T208" t="s">
        <v>314</v>
      </c>
      <c r="U208">
        <v>2015</v>
      </c>
      <c r="V208">
        <v>1398</v>
      </c>
    </row>
    <row r="209" spans="17:22">
      <c r="Q209">
        <v>3314</v>
      </c>
      <c r="R209">
        <v>1</v>
      </c>
      <c r="S209" t="s">
        <v>321</v>
      </c>
      <c r="T209" t="s">
        <v>314</v>
      </c>
      <c r="U209">
        <v>2016</v>
      </c>
      <c r="V209">
        <v>1353</v>
      </c>
    </row>
    <row r="210" spans="17:22">
      <c r="Q210">
        <v>3314</v>
      </c>
      <c r="R210">
        <v>1</v>
      </c>
      <c r="S210" t="s">
        <v>321</v>
      </c>
      <c r="T210" t="s">
        <v>314</v>
      </c>
      <c r="U210">
        <v>2017</v>
      </c>
      <c r="V210">
        <v>1376</v>
      </c>
    </row>
    <row r="211" spans="17:22">
      <c r="Q211">
        <v>3314</v>
      </c>
      <c r="R211">
        <v>1</v>
      </c>
      <c r="S211" t="s">
        <v>321</v>
      </c>
      <c r="T211" t="s">
        <v>314</v>
      </c>
      <c r="U211">
        <v>2018</v>
      </c>
      <c r="V211">
        <v>1414</v>
      </c>
    </row>
    <row r="212" spans="17:22">
      <c r="Q212">
        <v>3314</v>
      </c>
      <c r="R212">
        <v>1</v>
      </c>
      <c r="S212" t="s">
        <v>321</v>
      </c>
      <c r="T212" t="s">
        <v>314</v>
      </c>
      <c r="U212">
        <v>2019</v>
      </c>
      <c r="V212">
        <v>1425</v>
      </c>
    </row>
    <row r="213" spans="17:22">
      <c r="Q213">
        <v>3314</v>
      </c>
      <c r="R213">
        <v>1</v>
      </c>
      <c r="S213" t="s">
        <v>321</v>
      </c>
      <c r="T213" t="s">
        <v>314</v>
      </c>
      <c r="U213">
        <v>2020</v>
      </c>
      <c r="V213">
        <v>1246</v>
      </c>
    </row>
    <row r="214" spans="17:22">
      <c r="Q214">
        <v>3314</v>
      </c>
      <c r="R214">
        <v>1</v>
      </c>
      <c r="S214" t="s">
        <v>321</v>
      </c>
      <c r="T214" t="s">
        <v>314</v>
      </c>
      <c r="U214">
        <v>2021</v>
      </c>
      <c r="V214">
        <v>1183</v>
      </c>
    </row>
    <row r="215" spans="17:22">
      <c r="Q215">
        <v>3314</v>
      </c>
      <c r="R215">
        <v>1</v>
      </c>
      <c r="S215" t="s">
        <v>321</v>
      </c>
      <c r="T215" t="s">
        <v>314</v>
      </c>
      <c r="U215">
        <v>2022</v>
      </c>
      <c r="V215">
        <v>1203</v>
      </c>
    </row>
    <row r="216" spans="17:22">
      <c r="Q216">
        <v>3314</v>
      </c>
      <c r="R216">
        <v>1</v>
      </c>
      <c r="S216" t="s">
        <v>321</v>
      </c>
      <c r="T216" t="s">
        <v>314</v>
      </c>
      <c r="U216">
        <v>2023</v>
      </c>
      <c r="V216">
        <v>1218</v>
      </c>
    </row>
    <row r="217" spans="17:22">
      <c r="Q217">
        <v>3314</v>
      </c>
      <c r="R217">
        <v>1</v>
      </c>
      <c r="S217" t="s">
        <v>321</v>
      </c>
      <c r="T217" t="s">
        <v>314</v>
      </c>
      <c r="U217">
        <v>2024</v>
      </c>
      <c r="V217">
        <v>1262</v>
      </c>
    </row>
    <row r="218" spans="17:22">
      <c r="Q218">
        <v>3328</v>
      </c>
      <c r="R218">
        <v>1</v>
      </c>
      <c r="S218" t="s">
        <v>316</v>
      </c>
      <c r="T218" t="s">
        <v>314</v>
      </c>
      <c r="U218">
        <v>2001</v>
      </c>
      <c r="V218">
        <v>17977</v>
      </c>
    </row>
    <row r="219" spans="17:22">
      <c r="Q219">
        <v>3328</v>
      </c>
      <c r="R219">
        <v>1</v>
      </c>
      <c r="S219" t="s">
        <v>316</v>
      </c>
      <c r="T219" t="s">
        <v>314</v>
      </c>
      <c r="U219">
        <v>2002</v>
      </c>
      <c r="V219">
        <v>16786</v>
      </c>
    </row>
    <row r="220" spans="17:22">
      <c r="Q220">
        <v>3328</v>
      </c>
      <c r="R220">
        <v>1</v>
      </c>
      <c r="S220" t="s">
        <v>316</v>
      </c>
      <c r="T220" t="s">
        <v>314</v>
      </c>
      <c r="U220">
        <v>2003</v>
      </c>
      <c r="V220">
        <v>16067</v>
      </c>
    </row>
    <row r="221" spans="17:22">
      <c r="Q221">
        <v>3328</v>
      </c>
      <c r="R221">
        <v>1</v>
      </c>
      <c r="S221" t="s">
        <v>316</v>
      </c>
      <c r="T221" t="s">
        <v>314</v>
      </c>
      <c r="U221">
        <v>2004</v>
      </c>
      <c r="V221">
        <v>16021</v>
      </c>
    </row>
    <row r="222" spans="17:22">
      <c r="Q222">
        <v>3328</v>
      </c>
      <c r="R222">
        <v>1</v>
      </c>
      <c r="S222" t="s">
        <v>316</v>
      </c>
      <c r="T222" t="s">
        <v>314</v>
      </c>
      <c r="U222">
        <v>2005</v>
      </c>
      <c r="V222">
        <v>16076</v>
      </c>
    </row>
    <row r="223" spans="17:22">
      <c r="Q223">
        <v>3328</v>
      </c>
      <c r="R223">
        <v>1</v>
      </c>
      <c r="S223" t="s">
        <v>316</v>
      </c>
      <c r="T223" t="s">
        <v>314</v>
      </c>
      <c r="U223">
        <v>2006</v>
      </c>
      <c r="V223">
        <v>15555</v>
      </c>
    </row>
    <row r="224" spans="17:22">
      <c r="Q224">
        <v>3328</v>
      </c>
      <c r="R224">
        <v>1</v>
      </c>
      <c r="S224" t="s">
        <v>316</v>
      </c>
      <c r="T224" t="s">
        <v>314</v>
      </c>
      <c r="U224">
        <v>2007</v>
      </c>
      <c r="V224">
        <v>15298</v>
      </c>
    </row>
    <row r="225" spans="17:22">
      <c r="Q225">
        <v>3328</v>
      </c>
      <c r="R225">
        <v>1</v>
      </c>
      <c r="S225" t="s">
        <v>316</v>
      </c>
      <c r="T225" t="s">
        <v>314</v>
      </c>
      <c r="U225">
        <v>2008</v>
      </c>
      <c r="V225">
        <v>14322</v>
      </c>
    </row>
    <row r="226" spans="17:22">
      <c r="Q226">
        <v>3328</v>
      </c>
      <c r="R226">
        <v>1</v>
      </c>
      <c r="S226" t="s">
        <v>316</v>
      </c>
      <c r="T226" t="s">
        <v>314</v>
      </c>
      <c r="U226">
        <v>2009</v>
      </c>
      <c r="V226">
        <v>10392</v>
      </c>
    </row>
    <row r="227" spans="17:22">
      <c r="Q227">
        <v>3328</v>
      </c>
      <c r="R227">
        <v>1</v>
      </c>
      <c r="S227" t="s">
        <v>316</v>
      </c>
      <c r="T227" t="s">
        <v>314</v>
      </c>
      <c r="U227">
        <v>2010</v>
      </c>
      <c r="V227">
        <v>11330</v>
      </c>
    </row>
    <row r="228" spans="17:22">
      <c r="Q228">
        <v>3328</v>
      </c>
      <c r="R228">
        <v>1</v>
      </c>
      <c r="S228" t="s">
        <v>316</v>
      </c>
      <c r="T228" t="s">
        <v>314</v>
      </c>
      <c r="U228">
        <v>2011</v>
      </c>
      <c r="V228">
        <v>12775</v>
      </c>
    </row>
    <row r="229" spans="17:22">
      <c r="Q229">
        <v>3328</v>
      </c>
      <c r="R229">
        <v>1</v>
      </c>
      <c r="S229" t="s">
        <v>316</v>
      </c>
      <c r="T229" t="s">
        <v>314</v>
      </c>
      <c r="U229">
        <v>2012</v>
      </c>
      <c r="V229">
        <v>13777</v>
      </c>
    </row>
    <row r="230" spans="17:22">
      <c r="Q230">
        <v>3328</v>
      </c>
      <c r="R230">
        <v>1</v>
      </c>
      <c r="S230" t="s">
        <v>316</v>
      </c>
      <c r="T230" t="s">
        <v>314</v>
      </c>
      <c r="U230">
        <v>2013</v>
      </c>
      <c r="V230">
        <v>13936</v>
      </c>
    </row>
    <row r="231" spans="17:22">
      <c r="Q231">
        <v>3328</v>
      </c>
      <c r="R231">
        <v>1</v>
      </c>
      <c r="S231" t="s">
        <v>316</v>
      </c>
      <c r="T231" t="s">
        <v>314</v>
      </c>
      <c r="U231">
        <v>2014</v>
      </c>
      <c r="V231">
        <v>14419</v>
      </c>
    </row>
    <row r="232" spans="17:22">
      <c r="Q232">
        <v>3328</v>
      </c>
      <c r="R232">
        <v>1</v>
      </c>
      <c r="S232" t="s">
        <v>316</v>
      </c>
      <c r="T232" t="s">
        <v>314</v>
      </c>
      <c r="U232">
        <v>2015</v>
      </c>
      <c r="V232">
        <v>14082</v>
      </c>
    </row>
    <row r="233" spans="17:22">
      <c r="Q233">
        <v>3328</v>
      </c>
      <c r="R233">
        <v>1</v>
      </c>
      <c r="S233" t="s">
        <v>316</v>
      </c>
      <c r="T233" t="s">
        <v>314</v>
      </c>
      <c r="U233">
        <v>2016</v>
      </c>
      <c r="V233">
        <v>13687</v>
      </c>
    </row>
    <row r="234" spans="17:22">
      <c r="Q234">
        <v>3328</v>
      </c>
      <c r="R234">
        <v>1</v>
      </c>
      <c r="S234" t="s">
        <v>316</v>
      </c>
      <c r="T234" t="s">
        <v>314</v>
      </c>
      <c r="U234">
        <v>2017</v>
      </c>
      <c r="V234">
        <v>13699</v>
      </c>
    </row>
    <row r="235" spans="17:22">
      <c r="Q235">
        <v>3328</v>
      </c>
      <c r="R235">
        <v>1</v>
      </c>
      <c r="S235" t="s">
        <v>316</v>
      </c>
      <c r="T235" t="s">
        <v>314</v>
      </c>
      <c r="U235">
        <v>2018</v>
      </c>
      <c r="V235">
        <v>13709</v>
      </c>
    </row>
    <row r="236" spans="17:22">
      <c r="Q236">
        <v>3328</v>
      </c>
      <c r="R236">
        <v>1</v>
      </c>
      <c r="S236" t="s">
        <v>316</v>
      </c>
      <c r="T236" t="s">
        <v>314</v>
      </c>
      <c r="U236">
        <v>2019</v>
      </c>
      <c r="V236">
        <v>13698</v>
      </c>
    </row>
    <row r="237" spans="17:22">
      <c r="Q237">
        <v>3328</v>
      </c>
      <c r="R237">
        <v>1</v>
      </c>
      <c r="S237" t="s">
        <v>316</v>
      </c>
      <c r="T237" t="s">
        <v>314</v>
      </c>
      <c r="U237">
        <v>2020</v>
      </c>
      <c r="V237">
        <v>11274</v>
      </c>
    </row>
    <row r="238" spans="17:22">
      <c r="Q238">
        <v>3328</v>
      </c>
      <c r="R238">
        <v>1</v>
      </c>
      <c r="S238" t="s">
        <v>316</v>
      </c>
      <c r="T238" t="s">
        <v>314</v>
      </c>
      <c r="U238">
        <v>2021</v>
      </c>
      <c r="V238">
        <v>11480</v>
      </c>
    </row>
    <row r="239" spans="17:22">
      <c r="Q239">
        <v>3328</v>
      </c>
      <c r="R239">
        <v>1</v>
      </c>
      <c r="S239" t="s">
        <v>316</v>
      </c>
      <c r="T239" t="s">
        <v>314</v>
      </c>
      <c r="U239">
        <v>2022</v>
      </c>
      <c r="V239">
        <v>11391</v>
      </c>
    </row>
    <row r="240" spans="17:22">
      <c r="Q240">
        <v>3328</v>
      </c>
      <c r="R240">
        <v>1</v>
      </c>
      <c r="S240" t="s">
        <v>316</v>
      </c>
      <c r="T240" t="s">
        <v>314</v>
      </c>
      <c r="U240">
        <v>2023</v>
      </c>
      <c r="V240">
        <v>11698</v>
      </c>
    </row>
    <row r="241" spans="17:22">
      <c r="Q241">
        <v>3328</v>
      </c>
      <c r="R241">
        <v>1</v>
      </c>
      <c r="S241" t="s">
        <v>316</v>
      </c>
      <c r="T241" t="s">
        <v>314</v>
      </c>
      <c r="U241">
        <v>2024</v>
      </c>
      <c r="V241">
        <v>11221</v>
      </c>
    </row>
    <row r="242" spans="17:22">
      <c r="Q242">
        <v>3335</v>
      </c>
      <c r="R242">
        <v>2</v>
      </c>
      <c r="S242" t="s">
        <v>334</v>
      </c>
      <c r="T242" t="s">
        <v>314</v>
      </c>
      <c r="U242">
        <v>2001</v>
      </c>
      <c r="V242">
        <v>49161</v>
      </c>
    </row>
    <row r="243" spans="17:22">
      <c r="Q243">
        <v>3335</v>
      </c>
      <c r="R243">
        <v>2</v>
      </c>
      <c r="S243" t="s">
        <v>334</v>
      </c>
      <c r="T243" t="s">
        <v>314</v>
      </c>
      <c r="U243">
        <v>2002</v>
      </c>
      <c r="V243">
        <v>43233</v>
      </c>
    </row>
    <row r="244" spans="17:22">
      <c r="Q244">
        <v>3335</v>
      </c>
      <c r="R244">
        <v>2</v>
      </c>
      <c r="S244" t="s">
        <v>334</v>
      </c>
      <c r="T244" t="s">
        <v>314</v>
      </c>
      <c r="U244">
        <v>2003</v>
      </c>
      <c r="V244">
        <v>41612</v>
      </c>
    </row>
    <row r="245" spans="17:22">
      <c r="Q245">
        <v>3335</v>
      </c>
      <c r="R245">
        <v>2</v>
      </c>
      <c r="S245" t="s">
        <v>334</v>
      </c>
      <c r="T245" t="s">
        <v>314</v>
      </c>
      <c r="U245">
        <v>2004</v>
      </c>
      <c r="V245">
        <v>40652</v>
      </c>
    </row>
    <row r="246" spans="17:22">
      <c r="Q246">
        <v>3335</v>
      </c>
      <c r="R246">
        <v>2</v>
      </c>
      <c r="S246" t="s">
        <v>334</v>
      </c>
      <c r="T246" t="s">
        <v>314</v>
      </c>
      <c r="U246">
        <v>2005</v>
      </c>
      <c r="V246">
        <v>39706</v>
      </c>
    </row>
    <row r="247" spans="17:22">
      <c r="Q247">
        <v>3335</v>
      </c>
      <c r="R247">
        <v>2</v>
      </c>
      <c r="S247" t="s">
        <v>334</v>
      </c>
      <c r="T247" t="s">
        <v>314</v>
      </c>
      <c r="U247">
        <v>2006</v>
      </c>
      <c r="V247">
        <v>38592</v>
      </c>
    </row>
    <row r="248" spans="17:22">
      <c r="Q248">
        <v>3335</v>
      </c>
      <c r="R248">
        <v>2</v>
      </c>
      <c r="S248" t="s">
        <v>334</v>
      </c>
      <c r="T248" t="s">
        <v>314</v>
      </c>
      <c r="U248">
        <v>2007</v>
      </c>
      <c r="V248">
        <v>36126</v>
      </c>
    </row>
    <row r="249" spans="17:22">
      <c r="Q249">
        <v>3335</v>
      </c>
      <c r="R249">
        <v>2</v>
      </c>
      <c r="S249" t="s">
        <v>334</v>
      </c>
      <c r="T249" t="s">
        <v>314</v>
      </c>
      <c r="U249">
        <v>2008</v>
      </c>
      <c r="V249">
        <v>34551</v>
      </c>
    </row>
    <row r="250" spans="17:22">
      <c r="Q250">
        <v>3335</v>
      </c>
      <c r="R250">
        <v>2</v>
      </c>
      <c r="S250" t="s">
        <v>334</v>
      </c>
      <c r="T250" t="s">
        <v>314</v>
      </c>
      <c r="U250">
        <v>2009</v>
      </c>
      <c r="V250">
        <v>27570</v>
      </c>
    </row>
    <row r="251" spans="17:22">
      <c r="Q251">
        <v>3335</v>
      </c>
      <c r="R251">
        <v>2</v>
      </c>
      <c r="S251" t="s">
        <v>334</v>
      </c>
      <c r="T251" t="s">
        <v>314</v>
      </c>
      <c r="U251">
        <v>2010</v>
      </c>
      <c r="V251">
        <v>28820</v>
      </c>
    </row>
    <row r="252" spans="17:22">
      <c r="Q252">
        <v>3335</v>
      </c>
      <c r="R252">
        <v>2</v>
      </c>
      <c r="S252" t="s">
        <v>334</v>
      </c>
      <c r="T252" t="s">
        <v>314</v>
      </c>
      <c r="U252">
        <v>2011</v>
      </c>
      <c r="V252">
        <v>32010</v>
      </c>
    </row>
    <row r="253" spans="17:22">
      <c r="Q253">
        <v>3335</v>
      </c>
      <c r="R253">
        <v>2</v>
      </c>
      <c r="S253" t="s">
        <v>334</v>
      </c>
      <c r="T253" t="s">
        <v>314</v>
      </c>
      <c r="U253">
        <v>2012</v>
      </c>
      <c r="V253">
        <v>35272</v>
      </c>
    </row>
    <row r="254" spans="17:22">
      <c r="Q254">
        <v>3335</v>
      </c>
      <c r="R254">
        <v>2</v>
      </c>
      <c r="S254" t="s">
        <v>334</v>
      </c>
      <c r="T254" t="s">
        <v>314</v>
      </c>
      <c r="U254">
        <v>2013</v>
      </c>
      <c r="V254">
        <v>35902</v>
      </c>
    </row>
    <row r="255" spans="17:22">
      <c r="Q255">
        <v>3335</v>
      </c>
      <c r="R255">
        <v>2</v>
      </c>
      <c r="S255" t="s">
        <v>334</v>
      </c>
      <c r="T255" t="s">
        <v>314</v>
      </c>
      <c r="U255">
        <v>2014</v>
      </c>
      <c r="V255">
        <v>36405</v>
      </c>
    </row>
    <row r="256" spans="17:22">
      <c r="Q256">
        <v>3335</v>
      </c>
      <c r="R256">
        <v>2</v>
      </c>
      <c r="S256" t="s">
        <v>334</v>
      </c>
      <c r="T256" t="s">
        <v>314</v>
      </c>
      <c r="U256">
        <v>2015</v>
      </c>
      <c r="V256">
        <v>37169</v>
      </c>
    </row>
    <row r="257" spans="17:22">
      <c r="Q257">
        <v>3335</v>
      </c>
      <c r="R257">
        <v>2</v>
      </c>
      <c r="S257" t="s">
        <v>334</v>
      </c>
      <c r="T257" t="s">
        <v>314</v>
      </c>
      <c r="U257">
        <v>2016</v>
      </c>
      <c r="V257">
        <v>37389</v>
      </c>
    </row>
    <row r="258" spans="17:22">
      <c r="Q258">
        <v>3335</v>
      </c>
      <c r="R258">
        <v>2</v>
      </c>
      <c r="S258" t="s">
        <v>334</v>
      </c>
      <c r="T258" t="s">
        <v>314</v>
      </c>
      <c r="U258">
        <v>2017</v>
      </c>
      <c r="V258">
        <v>38120</v>
      </c>
    </row>
    <row r="259" spans="17:22">
      <c r="Q259">
        <v>3335</v>
      </c>
      <c r="R259">
        <v>2</v>
      </c>
      <c r="S259" t="s">
        <v>334</v>
      </c>
      <c r="T259" t="s">
        <v>314</v>
      </c>
      <c r="U259">
        <v>2018</v>
      </c>
      <c r="V259">
        <v>38331</v>
      </c>
    </row>
    <row r="260" spans="17:22">
      <c r="Q260">
        <v>3335</v>
      </c>
      <c r="R260">
        <v>2</v>
      </c>
      <c r="S260" t="s">
        <v>334</v>
      </c>
      <c r="T260" t="s">
        <v>314</v>
      </c>
      <c r="U260">
        <v>2019</v>
      </c>
      <c r="V260">
        <v>36498</v>
      </c>
    </row>
    <row r="261" spans="17:22">
      <c r="Q261">
        <v>3335</v>
      </c>
      <c r="R261">
        <v>2</v>
      </c>
      <c r="S261" t="s">
        <v>334</v>
      </c>
      <c r="T261" t="s">
        <v>314</v>
      </c>
      <c r="U261">
        <v>2020</v>
      </c>
      <c r="V261">
        <v>31959</v>
      </c>
    </row>
    <row r="262" spans="17:22">
      <c r="Q262">
        <v>3335</v>
      </c>
      <c r="R262">
        <v>2</v>
      </c>
      <c r="S262" t="s">
        <v>334</v>
      </c>
      <c r="T262" t="s">
        <v>314</v>
      </c>
      <c r="U262">
        <v>2021</v>
      </c>
      <c r="V262">
        <v>31751</v>
      </c>
    </row>
    <row r="263" spans="17:22">
      <c r="Q263">
        <v>3335</v>
      </c>
      <c r="R263">
        <v>2</v>
      </c>
      <c r="S263" t="s">
        <v>334</v>
      </c>
      <c r="T263" t="s">
        <v>314</v>
      </c>
      <c r="U263">
        <v>2022</v>
      </c>
      <c r="V263">
        <v>31037</v>
      </c>
    </row>
    <row r="264" spans="17:22">
      <c r="Q264">
        <v>3335</v>
      </c>
      <c r="R264">
        <v>2</v>
      </c>
      <c r="S264" t="s">
        <v>334</v>
      </c>
      <c r="T264" t="s">
        <v>314</v>
      </c>
      <c r="U264">
        <v>2023</v>
      </c>
      <c r="V264">
        <v>30603</v>
      </c>
    </row>
    <row r="265" spans="17:22">
      <c r="Q265">
        <v>3335</v>
      </c>
      <c r="R265">
        <v>2</v>
      </c>
      <c r="S265" t="s">
        <v>334</v>
      </c>
      <c r="T265" t="s">
        <v>314</v>
      </c>
      <c r="U265">
        <v>2024</v>
      </c>
      <c r="V265">
        <v>29604</v>
      </c>
    </row>
    <row r="266" spans="17:22">
      <c r="Q266">
        <v>3339</v>
      </c>
      <c r="R266">
        <v>2</v>
      </c>
      <c r="S266" t="s">
        <v>334</v>
      </c>
      <c r="T266" t="s">
        <v>314</v>
      </c>
      <c r="U266">
        <v>2001</v>
      </c>
      <c r="V266">
        <v>20727</v>
      </c>
    </row>
    <row r="267" spans="17:22">
      <c r="Q267">
        <v>3339</v>
      </c>
      <c r="R267">
        <v>2</v>
      </c>
      <c r="S267" t="s">
        <v>334</v>
      </c>
      <c r="T267" t="s">
        <v>314</v>
      </c>
      <c r="U267">
        <v>2002</v>
      </c>
      <c r="V267">
        <v>18002</v>
      </c>
    </row>
    <row r="268" spans="17:22">
      <c r="Q268">
        <v>3339</v>
      </c>
      <c r="R268">
        <v>2</v>
      </c>
      <c r="S268" t="s">
        <v>334</v>
      </c>
      <c r="T268" t="s">
        <v>314</v>
      </c>
      <c r="U268">
        <v>2003</v>
      </c>
      <c r="V268">
        <v>16773</v>
      </c>
    </row>
    <row r="269" spans="17:22">
      <c r="Q269">
        <v>3339</v>
      </c>
      <c r="R269">
        <v>2</v>
      </c>
      <c r="S269" t="s">
        <v>334</v>
      </c>
      <c r="T269" t="s">
        <v>314</v>
      </c>
      <c r="U269">
        <v>2004</v>
      </c>
      <c r="V269">
        <v>16306</v>
      </c>
    </row>
    <row r="270" spans="17:22">
      <c r="Q270">
        <v>3339</v>
      </c>
      <c r="R270">
        <v>2</v>
      </c>
      <c r="S270" t="s">
        <v>334</v>
      </c>
      <c r="T270" t="s">
        <v>314</v>
      </c>
      <c r="U270">
        <v>2005</v>
      </c>
      <c r="V270">
        <v>16023</v>
      </c>
    </row>
    <row r="271" spans="17:22">
      <c r="Q271">
        <v>3339</v>
      </c>
      <c r="R271">
        <v>2</v>
      </c>
      <c r="S271" t="s">
        <v>334</v>
      </c>
      <c r="T271" t="s">
        <v>314</v>
      </c>
      <c r="U271">
        <v>2006</v>
      </c>
      <c r="V271">
        <v>15746</v>
      </c>
    </row>
    <row r="272" spans="17:22">
      <c r="Q272">
        <v>3339</v>
      </c>
      <c r="R272">
        <v>2</v>
      </c>
      <c r="S272" t="s">
        <v>334</v>
      </c>
      <c r="T272" t="s">
        <v>314</v>
      </c>
      <c r="U272">
        <v>2007</v>
      </c>
      <c r="V272">
        <v>15059</v>
      </c>
    </row>
    <row r="273" spans="17:22">
      <c r="Q273">
        <v>3339</v>
      </c>
      <c r="R273">
        <v>2</v>
      </c>
      <c r="S273" t="s">
        <v>334</v>
      </c>
      <c r="T273" t="s">
        <v>314</v>
      </c>
      <c r="U273">
        <v>2008</v>
      </c>
      <c r="V273">
        <v>14558</v>
      </c>
    </row>
    <row r="274" spans="17:22">
      <c r="Q274">
        <v>3339</v>
      </c>
      <c r="R274">
        <v>2</v>
      </c>
      <c r="S274" t="s">
        <v>334</v>
      </c>
      <c r="T274" t="s">
        <v>314</v>
      </c>
      <c r="U274">
        <v>2009</v>
      </c>
      <c r="V274">
        <v>11925</v>
      </c>
    </row>
    <row r="275" spans="17:22">
      <c r="Q275">
        <v>3339</v>
      </c>
      <c r="R275">
        <v>2</v>
      </c>
      <c r="S275" t="s">
        <v>334</v>
      </c>
      <c r="T275" t="s">
        <v>314</v>
      </c>
      <c r="U275">
        <v>2010</v>
      </c>
      <c r="V275">
        <v>11306</v>
      </c>
    </row>
    <row r="276" spans="17:22">
      <c r="Q276">
        <v>3339</v>
      </c>
      <c r="R276">
        <v>2</v>
      </c>
      <c r="S276" t="s">
        <v>334</v>
      </c>
      <c r="T276" t="s">
        <v>314</v>
      </c>
      <c r="U276">
        <v>2011</v>
      </c>
      <c r="V276">
        <v>12406</v>
      </c>
    </row>
    <row r="277" spans="17:22">
      <c r="Q277">
        <v>3339</v>
      </c>
      <c r="R277">
        <v>2</v>
      </c>
      <c r="S277" t="s">
        <v>334</v>
      </c>
      <c r="T277" t="s">
        <v>314</v>
      </c>
      <c r="U277">
        <v>2012</v>
      </c>
      <c r="V277">
        <v>13481</v>
      </c>
    </row>
    <row r="278" spans="17:22">
      <c r="Q278">
        <v>3339</v>
      </c>
      <c r="R278">
        <v>2</v>
      </c>
      <c r="S278" t="s">
        <v>334</v>
      </c>
      <c r="T278" t="s">
        <v>314</v>
      </c>
      <c r="U278">
        <v>2013</v>
      </c>
      <c r="V278">
        <v>14445</v>
      </c>
    </row>
    <row r="279" spans="17:22">
      <c r="Q279">
        <v>3339</v>
      </c>
      <c r="R279">
        <v>2</v>
      </c>
      <c r="S279" t="s">
        <v>334</v>
      </c>
      <c r="T279" t="s">
        <v>314</v>
      </c>
      <c r="U279">
        <v>2014</v>
      </c>
      <c r="V279">
        <v>15215</v>
      </c>
    </row>
    <row r="280" spans="17:22">
      <c r="Q280">
        <v>3339</v>
      </c>
      <c r="R280">
        <v>2</v>
      </c>
      <c r="S280" t="s">
        <v>334</v>
      </c>
      <c r="T280" t="s">
        <v>314</v>
      </c>
      <c r="U280">
        <v>2015</v>
      </c>
      <c r="V280">
        <v>15801</v>
      </c>
    </row>
    <row r="281" spans="17:22">
      <c r="Q281">
        <v>3339</v>
      </c>
      <c r="R281">
        <v>2</v>
      </c>
      <c r="S281" t="s">
        <v>334</v>
      </c>
      <c r="T281" t="s">
        <v>314</v>
      </c>
      <c r="U281">
        <v>2016</v>
      </c>
      <c r="V281">
        <v>16007</v>
      </c>
    </row>
    <row r="282" spans="17:22">
      <c r="Q282">
        <v>3339</v>
      </c>
      <c r="R282">
        <v>2</v>
      </c>
      <c r="S282" t="s">
        <v>334</v>
      </c>
      <c r="T282" t="s">
        <v>314</v>
      </c>
      <c r="U282">
        <v>2017</v>
      </c>
      <c r="V282">
        <v>16399</v>
      </c>
    </row>
    <row r="283" spans="17:22">
      <c r="Q283">
        <v>3339</v>
      </c>
      <c r="R283">
        <v>2</v>
      </c>
      <c r="S283" t="s">
        <v>334</v>
      </c>
      <c r="T283" t="s">
        <v>314</v>
      </c>
      <c r="U283">
        <v>2018</v>
      </c>
      <c r="V283">
        <v>17093</v>
      </c>
    </row>
    <row r="284" spans="17:22">
      <c r="Q284">
        <v>3339</v>
      </c>
      <c r="R284">
        <v>2</v>
      </c>
      <c r="S284" t="s">
        <v>334</v>
      </c>
      <c r="T284" t="s">
        <v>314</v>
      </c>
      <c r="U284">
        <v>2019</v>
      </c>
      <c r="V284">
        <v>17004</v>
      </c>
    </row>
    <row r="285" spans="17:22">
      <c r="Q285">
        <v>3339</v>
      </c>
      <c r="R285">
        <v>2</v>
      </c>
      <c r="S285" t="s">
        <v>334</v>
      </c>
      <c r="T285" t="s">
        <v>314</v>
      </c>
      <c r="U285">
        <v>2020</v>
      </c>
      <c r="V285">
        <v>16308</v>
      </c>
    </row>
    <row r="286" spans="17:22">
      <c r="Q286">
        <v>3339</v>
      </c>
      <c r="R286">
        <v>2</v>
      </c>
      <c r="S286" t="s">
        <v>334</v>
      </c>
      <c r="T286" t="s">
        <v>314</v>
      </c>
      <c r="U286">
        <v>2021</v>
      </c>
      <c r="V286">
        <v>16669</v>
      </c>
    </row>
    <row r="287" spans="17:22">
      <c r="Q287">
        <v>3339</v>
      </c>
      <c r="R287">
        <v>2</v>
      </c>
      <c r="S287" t="s">
        <v>334</v>
      </c>
      <c r="T287" t="s">
        <v>314</v>
      </c>
      <c r="U287">
        <v>2022</v>
      </c>
      <c r="V287">
        <v>17802</v>
      </c>
    </row>
    <row r="288" spans="17:22">
      <c r="Q288">
        <v>3339</v>
      </c>
      <c r="R288">
        <v>2</v>
      </c>
      <c r="S288" t="s">
        <v>334</v>
      </c>
      <c r="T288" t="s">
        <v>314</v>
      </c>
      <c r="U288">
        <v>2023</v>
      </c>
      <c r="V288">
        <v>18273</v>
      </c>
    </row>
    <row r="289" spans="17:22">
      <c r="Q289">
        <v>3339</v>
      </c>
      <c r="R289">
        <v>2</v>
      </c>
      <c r="S289" t="s">
        <v>334</v>
      </c>
      <c r="T289" t="s">
        <v>314</v>
      </c>
      <c r="U289">
        <v>2024</v>
      </c>
      <c r="V289">
        <v>17946</v>
      </c>
    </row>
    <row r="290" spans="17:22">
      <c r="Q290">
        <v>3315</v>
      </c>
      <c r="R290">
        <v>3</v>
      </c>
      <c r="S290" t="s">
        <v>326</v>
      </c>
      <c r="T290" t="s">
        <v>314</v>
      </c>
      <c r="U290">
        <v>2001</v>
      </c>
      <c r="V290">
        <v>16071</v>
      </c>
    </row>
    <row r="291" spans="17:22">
      <c r="Q291">
        <v>3315</v>
      </c>
      <c r="R291">
        <v>3</v>
      </c>
      <c r="S291" t="s">
        <v>326</v>
      </c>
      <c r="T291" t="s">
        <v>314</v>
      </c>
      <c r="U291">
        <v>2002</v>
      </c>
      <c r="V291">
        <v>14575</v>
      </c>
    </row>
    <row r="292" spans="17:22">
      <c r="Q292">
        <v>3315</v>
      </c>
      <c r="R292">
        <v>3</v>
      </c>
      <c r="S292" t="s">
        <v>326</v>
      </c>
      <c r="T292" t="s">
        <v>314</v>
      </c>
      <c r="U292">
        <v>2003</v>
      </c>
      <c r="V292">
        <v>13733</v>
      </c>
    </row>
    <row r="293" spans="17:22">
      <c r="Q293">
        <v>3315</v>
      </c>
      <c r="R293">
        <v>3</v>
      </c>
      <c r="S293" t="s">
        <v>326</v>
      </c>
      <c r="T293" t="s">
        <v>314</v>
      </c>
      <c r="U293">
        <v>2004</v>
      </c>
      <c r="V293">
        <v>14910</v>
      </c>
    </row>
    <row r="294" spans="17:22">
      <c r="Q294">
        <v>3315</v>
      </c>
      <c r="R294">
        <v>3</v>
      </c>
      <c r="S294" t="s">
        <v>326</v>
      </c>
      <c r="T294" t="s">
        <v>314</v>
      </c>
      <c r="U294">
        <v>2005</v>
      </c>
      <c r="V294">
        <v>14620</v>
      </c>
    </row>
    <row r="295" spans="17:22">
      <c r="Q295">
        <v>3315</v>
      </c>
      <c r="R295">
        <v>3</v>
      </c>
      <c r="S295" t="s">
        <v>326</v>
      </c>
      <c r="T295" t="s">
        <v>314</v>
      </c>
      <c r="U295">
        <v>2006</v>
      </c>
      <c r="V295">
        <v>13857</v>
      </c>
    </row>
    <row r="296" spans="17:22">
      <c r="Q296">
        <v>3315</v>
      </c>
      <c r="R296">
        <v>3</v>
      </c>
      <c r="S296" t="s">
        <v>326</v>
      </c>
      <c r="T296" t="s">
        <v>314</v>
      </c>
      <c r="U296">
        <v>2007</v>
      </c>
      <c r="V296">
        <v>12652</v>
      </c>
    </row>
    <row r="297" spans="17:22">
      <c r="Q297">
        <v>3315</v>
      </c>
      <c r="R297">
        <v>3</v>
      </c>
      <c r="S297" t="s">
        <v>326</v>
      </c>
      <c r="T297" t="s">
        <v>314</v>
      </c>
      <c r="U297">
        <v>2008</v>
      </c>
      <c r="V297">
        <v>11614</v>
      </c>
    </row>
    <row r="298" spans="17:22">
      <c r="Q298">
        <v>3315</v>
      </c>
      <c r="R298">
        <v>3</v>
      </c>
      <c r="S298" t="s">
        <v>326</v>
      </c>
      <c r="T298" t="s">
        <v>314</v>
      </c>
      <c r="U298">
        <v>2009</v>
      </c>
      <c r="V298">
        <v>8174</v>
      </c>
    </row>
    <row r="299" spans="17:22">
      <c r="Q299">
        <v>3315</v>
      </c>
      <c r="R299">
        <v>3</v>
      </c>
      <c r="S299" t="s">
        <v>326</v>
      </c>
      <c r="T299" t="s">
        <v>314</v>
      </c>
      <c r="U299">
        <v>2010</v>
      </c>
      <c r="V299">
        <v>8648</v>
      </c>
    </row>
    <row r="300" spans="17:22">
      <c r="Q300">
        <v>3315</v>
      </c>
      <c r="R300">
        <v>3</v>
      </c>
      <c r="S300" t="s">
        <v>326</v>
      </c>
      <c r="T300" t="s">
        <v>314</v>
      </c>
      <c r="U300">
        <v>2011</v>
      </c>
      <c r="V300">
        <v>9823</v>
      </c>
    </row>
    <row r="301" spans="17:22">
      <c r="Q301">
        <v>3315</v>
      </c>
      <c r="R301">
        <v>3</v>
      </c>
      <c r="S301" t="s">
        <v>326</v>
      </c>
      <c r="T301" t="s">
        <v>314</v>
      </c>
      <c r="U301">
        <v>2012</v>
      </c>
      <c r="V301">
        <v>10489</v>
      </c>
    </row>
    <row r="302" spans="17:22">
      <c r="Q302">
        <v>3315</v>
      </c>
      <c r="R302">
        <v>3</v>
      </c>
      <c r="S302" t="s">
        <v>326</v>
      </c>
      <c r="T302" t="s">
        <v>314</v>
      </c>
      <c r="U302">
        <v>2013</v>
      </c>
      <c r="V302">
        <v>10106</v>
      </c>
    </row>
    <row r="303" spans="17:22">
      <c r="Q303">
        <v>3315</v>
      </c>
      <c r="R303">
        <v>3</v>
      </c>
      <c r="S303" t="s">
        <v>326</v>
      </c>
      <c r="T303" t="s">
        <v>314</v>
      </c>
      <c r="U303">
        <v>2014</v>
      </c>
      <c r="V303">
        <v>10415</v>
      </c>
    </row>
    <row r="304" spans="17:22">
      <c r="Q304">
        <v>3315</v>
      </c>
      <c r="R304">
        <v>3</v>
      </c>
      <c r="S304" t="s">
        <v>326</v>
      </c>
      <c r="T304" t="s">
        <v>314</v>
      </c>
      <c r="U304">
        <v>2015</v>
      </c>
      <c r="V304">
        <v>10312</v>
      </c>
    </row>
    <row r="305" spans="17:22">
      <c r="Q305">
        <v>3315</v>
      </c>
      <c r="R305">
        <v>3</v>
      </c>
      <c r="S305" t="s">
        <v>326</v>
      </c>
      <c r="T305" t="s">
        <v>314</v>
      </c>
      <c r="U305">
        <v>2016</v>
      </c>
      <c r="V305">
        <v>10321</v>
      </c>
    </row>
    <row r="306" spans="17:22">
      <c r="Q306">
        <v>3315</v>
      </c>
      <c r="R306">
        <v>3</v>
      </c>
      <c r="S306" t="s">
        <v>326</v>
      </c>
      <c r="T306" t="s">
        <v>314</v>
      </c>
      <c r="U306">
        <v>2017</v>
      </c>
      <c r="V306">
        <v>10442</v>
      </c>
    </row>
    <row r="307" spans="17:22">
      <c r="Q307">
        <v>3315</v>
      </c>
      <c r="R307">
        <v>3</v>
      </c>
      <c r="S307" t="s">
        <v>326</v>
      </c>
      <c r="T307" t="s">
        <v>314</v>
      </c>
      <c r="U307">
        <v>2018</v>
      </c>
      <c r="V307">
        <v>10846</v>
      </c>
    </row>
    <row r="308" spans="17:22">
      <c r="Q308">
        <v>3315</v>
      </c>
      <c r="R308">
        <v>3</v>
      </c>
      <c r="S308" t="s">
        <v>326</v>
      </c>
      <c r="T308" t="s">
        <v>314</v>
      </c>
      <c r="U308">
        <v>2019</v>
      </c>
      <c r="V308">
        <v>10665</v>
      </c>
    </row>
    <row r="309" spans="17:22">
      <c r="Q309">
        <v>3315</v>
      </c>
      <c r="R309">
        <v>3</v>
      </c>
      <c r="S309" t="s">
        <v>326</v>
      </c>
      <c r="T309" t="s">
        <v>314</v>
      </c>
      <c r="U309">
        <v>2020</v>
      </c>
      <c r="V309">
        <v>8861</v>
      </c>
    </row>
    <row r="310" spans="17:22">
      <c r="Q310">
        <v>3315</v>
      </c>
      <c r="R310">
        <v>3</v>
      </c>
      <c r="S310" t="s">
        <v>326</v>
      </c>
      <c r="T310" t="s">
        <v>314</v>
      </c>
      <c r="U310">
        <v>2021</v>
      </c>
      <c r="V310">
        <v>8973</v>
      </c>
    </row>
    <row r="311" spans="17:22">
      <c r="Q311">
        <v>3315</v>
      </c>
      <c r="R311">
        <v>3</v>
      </c>
      <c r="S311" t="s">
        <v>326</v>
      </c>
      <c r="T311" t="s">
        <v>314</v>
      </c>
      <c r="U311">
        <v>2022</v>
      </c>
      <c r="V311">
        <v>9464</v>
      </c>
    </row>
    <row r="312" spans="17:22">
      <c r="Q312">
        <v>3315</v>
      </c>
      <c r="R312">
        <v>3</v>
      </c>
      <c r="S312" t="s">
        <v>326</v>
      </c>
      <c r="T312" t="s">
        <v>314</v>
      </c>
      <c r="U312">
        <v>2023</v>
      </c>
      <c r="V312">
        <v>9659</v>
      </c>
    </row>
    <row r="313" spans="17:22">
      <c r="Q313">
        <v>3315</v>
      </c>
      <c r="R313">
        <v>3</v>
      </c>
      <c r="S313" t="s">
        <v>326</v>
      </c>
      <c r="T313" t="s">
        <v>314</v>
      </c>
      <c r="U313">
        <v>2024</v>
      </c>
      <c r="V313">
        <v>9349</v>
      </c>
    </row>
    <row r="314" spans="17:22">
      <c r="Q314">
        <v>3321</v>
      </c>
      <c r="R314">
        <v>3</v>
      </c>
      <c r="S314" t="s">
        <v>326</v>
      </c>
      <c r="T314" t="s">
        <v>314</v>
      </c>
      <c r="U314">
        <v>2001</v>
      </c>
      <c r="V314">
        <v>6498</v>
      </c>
    </row>
    <row r="315" spans="17:22">
      <c r="Q315">
        <v>3321</v>
      </c>
      <c r="R315">
        <v>3</v>
      </c>
      <c r="S315" t="s">
        <v>326</v>
      </c>
      <c r="T315" t="s">
        <v>314</v>
      </c>
      <c r="U315">
        <v>2002</v>
      </c>
      <c r="V315">
        <v>6278</v>
      </c>
    </row>
    <row r="316" spans="17:22">
      <c r="Q316">
        <v>3321</v>
      </c>
      <c r="R316">
        <v>3</v>
      </c>
      <c r="S316" t="s">
        <v>326</v>
      </c>
      <c r="T316" t="s">
        <v>314</v>
      </c>
      <c r="U316">
        <v>2003</v>
      </c>
      <c r="V316">
        <v>6387</v>
      </c>
    </row>
    <row r="317" spans="17:22">
      <c r="Q317">
        <v>3321</v>
      </c>
      <c r="R317">
        <v>3</v>
      </c>
      <c r="S317" t="s">
        <v>326</v>
      </c>
      <c r="T317" t="s">
        <v>314</v>
      </c>
      <c r="U317">
        <v>2004</v>
      </c>
      <c r="V317">
        <v>6926</v>
      </c>
    </row>
    <row r="318" spans="17:22">
      <c r="Q318">
        <v>3321</v>
      </c>
      <c r="R318">
        <v>3</v>
      </c>
      <c r="S318" t="s">
        <v>326</v>
      </c>
      <c r="T318" t="s">
        <v>314</v>
      </c>
      <c r="U318">
        <v>2005</v>
      </c>
      <c r="V318">
        <v>6839</v>
      </c>
    </row>
    <row r="319" spans="17:22">
      <c r="Q319">
        <v>3321</v>
      </c>
      <c r="R319">
        <v>3</v>
      </c>
      <c r="S319" t="s">
        <v>326</v>
      </c>
      <c r="T319" t="s">
        <v>314</v>
      </c>
      <c r="U319">
        <v>2006</v>
      </c>
      <c r="V319">
        <v>7025</v>
      </c>
    </row>
    <row r="320" spans="17:22">
      <c r="Q320">
        <v>3321</v>
      </c>
      <c r="R320">
        <v>3</v>
      </c>
      <c r="S320" t="s">
        <v>326</v>
      </c>
      <c r="T320" t="s">
        <v>314</v>
      </c>
      <c r="U320">
        <v>2007</v>
      </c>
      <c r="V320">
        <v>7112</v>
      </c>
    </row>
    <row r="321" spans="17:22">
      <c r="Q321">
        <v>3321</v>
      </c>
      <c r="R321">
        <v>3</v>
      </c>
      <c r="S321" t="s">
        <v>326</v>
      </c>
      <c r="T321" t="s">
        <v>314</v>
      </c>
      <c r="U321">
        <v>2008</v>
      </c>
      <c r="V321">
        <v>6320</v>
      </c>
    </row>
    <row r="322" spans="17:22">
      <c r="Q322">
        <v>3321</v>
      </c>
      <c r="R322">
        <v>3</v>
      </c>
      <c r="S322" t="s">
        <v>326</v>
      </c>
      <c r="T322" t="s">
        <v>314</v>
      </c>
      <c r="U322">
        <v>2009</v>
      </c>
      <c r="V322">
        <v>4978</v>
      </c>
    </row>
    <row r="323" spans="17:22">
      <c r="Q323">
        <v>3321</v>
      </c>
      <c r="R323">
        <v>3</v>
      </c>
      <c r="S323" t="s">
        <v>326</v>
      </c>
      <c r="T323" t="s">
        <v>314</v>
      </c>
      <c r="U323">
        <v>2010</v>
      </c>
      <c r="V323">
        <v>5757</v>
      </c>
    </row>
    <row r="324" spans="17:22">
      <c r="Q324">
        <v>3321</v>
      </c>
      <c r="R324">
        <v>3</v>
      </c>
      <c r="S324" t="s">
        <v>326</v>
      </c>
      <c r="T324" t="s">
        <v>314</v>
      </c>
      <c r="U324">
        <v>2011</v>
      </c>
      <c r="V324">
        <v>6954</v>
      </c>
    </row>
    <row r="325" spans="17:22">
      <c r="Q325">
        <v>3321</v>
      </c>
      <c r="R325">
        <v>3</v>
      </c>
      <c r="S325" t="s">
        <v>326</v>
      </c>
      <c r="T325" t="s">
        <v>314</v>
      </c>
      <c r="U325">
        <v>2012</v>
      </c>
      <c r="V325">
        <v>7241</v>
      </c>
    </row>
    <row r="326" spans="17:22">
      <c r="Q326">
        <v>3321</v>
      </c>
      <c r="R326">
        <v>3</v>
      </c>
      <c r="S326" t="s">
        <v>326</v>
      </c>
      <c r="T326" t="s">
        <v>314</v>
      </c>
      <c r="U326">
        <v>2013</v>
      </c>
      <c r="V326">
        <v>7363</v>
      </c>
    </row>
    <row r="327" spans="17:22">
      <c r="Q327">
        <v>3321</v>
      </c>
      <c r="R327">
        <v>3</v>
      </c>
      <c r="S327" t="s">
        <v>326</v>
      </c>
      <c r="T327" t="s">
        <v>314</v>
      </c>
      <c r="U327">
        <v>2014</v>
      </c>
      <c r="V327">
        <v>7436</v>
      </c>
    </row>
    <row r="328" spans="17:22">
      <c r="Q328">
        <v>3321</v>
      </c>
      <c r="R328">
        <v>3</v>
      </c>
      <c r="S328" t="s">
        <v>326</v>
      </c>
      <c r="T328" t="s">
        <v>314</v>
      </c>
      <c r="U328">
        <v>2015</v>
      </c>
      <c r="V328">
        <v>7735</v>
      </c>
    </row>
    <row r="329" spans="17:22">
      <c r="Q329">
        <v>3321</v>
      </c>
      <c r="R329">
        <v>3</v>
      </c>
      <c r="S329" t="s">
        <v>326</v>
      </c>
      <c r="T329" t="s">
        <v>314</v>
      </c>
      <c r="U329">
        <v>2016</v>
      </c>
      <c r="V329">
        <v>7873</v>
      </c>
    </row>
    <row r="330" spans="17:22">
      <c r="Q330">
        <v>3321</v>
      </c>
      <c r="R330">
        <v>3</v>
      </c>
      <c r="S330" t="s">
        <v>326</v>
      </c>
      <c r="T330" t="s">
        <v>314</v>
      </c>
      <c r="U330">
        <v>2017</v>
      </c>
      <c r="V330">
        <v>8110</v>
      </c>
    </row>
    <row r="331" spans="17:22">
      <c r="Q331">
        <v>3321</v>
      </c>
      <c r="R331">
        <v>3</v>
      </c>
      <c r="S331" t="s">
        <v>326</v>
      </c>
      <c r="T331" t="s">
        <v>314</v>
      </c>
      <c r="U331">
        <v>2018</v>
      </c>
      <c r="V331">
        <v>8431</v>
      </c>
    </row>
    <row r="332" spans="17:22">
      <c r="Q332">
        <v>3321</v>
      </c>
      <c r="R332">
        <v>3</v>
      </c>
      <c r="S332" t="s">
        <v>326</v>
      </c>
      <c r="T332" t="s">
        <v>314</v>
      </c>
      <c r="U332">
        <v>2019</v>
      </c>
      <c r="V332">
        <v>8606</v>
      </c>
    </row>
    <row r="333" spans="17:22">
      <c r="Q333">
        <v>3321</v>
      </c>
      <c r="R333">
        <v>3</v>
      </c>
      <c r="S333" t="s">
        <v>326</v>
      </c>
      <c r="T333" t="s">
        <v>314</v>
      </c>
      <c r="U333">
        <v>2020</v>
      </c>
      <c r="V333">
        <v>7022</v>
      </c>
    </row>
    <row r="334" spans="17:22">
      <c r="Q334">
        <v>3321</v>
      </c>
      <c r="R334">
        <v>3</v>
      </c>
      <c r="S334" t="s">
        <v>326</v>
      </c>
      <c r="T334" t="s">
        <v>314</v>
      </c>
      <c r="U334">
        <v>2021</v>
      </c>
      <c r="V334">
        <v>7226</v>
      </c>
    </row>
    <row r="335" spans="17:22">
      <c r="Q335">
        <v>3321</v>
      </c>
      <c r="R335">
        <v>3</v>
      </c>
      <c r="S335" t="s">
        <v>326</v>
      </c>
      <c r="T335" t="s">
        <v>314</v>
      </c>
      <c r="U335">
        <v>2022</v>
      </c>
      <c r="V335">
        <v>7282</v>
      </c>
    </row>
    <row r="336" spans="17:22">
      <c r="Q336">
        <v>3321</v>
      </c>
      <c r="R336">
        <v>3</v>
      </c>
      <c r="S336" t="s">
        <v>326</v>
      </c>
      <c r="T336" t="s">
        <v>314</v>
      </c>
      <c r="U336">
        <v>2023</v>
      </c>
      <c r="V336">
        <v>7396</v>
      </c>
    </row>
    <row r="337" spans="17:22">
      <c r="Q337">
        <v>3321</v>
      </c>
      <c r="R337">
        <v>3</v>
      </c>
      <c r="S337" t="s">
        <v>326</v>
      </c>
      <c r="T337" t="s">
        <v>314</v>
      </c>
      <c r="U337">
        <v>2024</v>
      </c>
      <c r="V337">
        <v>6988</v>
      </c>
    </row>
    <row r="338" spans="17:22">
      <c r="Q338">
        <v>3326</v>
      </c>
      <c r="R338">
        <v>4</v>
      </c>
      <c r="S338" t="s">
        <v>329</v>
      </c>
      <c r="T338" t="s">
        <v>314</v>
      </c>
      <c r="U338">
        <v>2001</v>
      </c>
      <c r="V338">
        <v>4191</v>
      </c>
    </row>
    <row r="339" spans="17:22">
      <c r="Q339">
        <v>3326</v>
      </c>
      <c r="R339">
        <v>4</v>
      </c>
      <c r="S339" t="s">
        <v>329</v>
      </c>
      <c r="T339" t="s">
        <v>314</v>
      </c>
      <c r="U339">
        <v>2002</v>
      </c>
      <c r="V339">
        <v>3598</v>
      </c>
    </row>
    <row r="340" spans="17:22">
      <c r="Q340">
        <v>3326</v>
      </c>
      <c r="R340">
        <v>4</v>
      </c>
      <c r="S340" t="s">
        <v>329</v>
      </c>
      <c r="T340" t="s">
        <v>314</v>
      </c>
      <c r="U340">
        <v>2003</v>
      </c>
      <c r="V340">
        <v>3333</v>
      </c>
    </row>
    <row r="341" spans="17:22">
      <c r="Q341">
        <v>3326</v>
      </c>
      <c r="R341">
        <v>4</v>
      </c>
      <c r="S341" t="s">
        <v>329</v>
      </c>
      <c r="T341" t="s">
        <v>314</v>
      </c>
      <c r="U341">
        <v>2004</v>
      </c>
      <c r="V341">
        <v>3091</v>
      </c>
    </row>
    <row r="342" spans="17:22">
      <c r="Q342">
        <v>3326</v>
      </c>
      <c r="R342">
        <v>4</v>
      </c>
      <c r="S342" t="s">
        <v>329</v>
      </c>
      <c r="T342" t="s">
        <v>314</v>
      </c>
      <c r="U342">
        <v>2005</v>
      </c>
      <c r="V342">
        <v>3217</v>
      </c>
    </row>
    <row r="343" spans="17:22">
      <c r="Q343">
        <v>3326</v>
      </c>
      <c r="R343">
        <v>4</v>
      </c>
      <c r="S343" t="s">
        <v>329</v>
      </c>
      <c r="T343" t="s">
        <v>314</v>
      </c>
      <c r="U343">
        <v>2006</v>
      </c>
      <c r="V343">
        <v>3114</v>
      </c>
    </row>
    <row r="344" spans="17:22">
      <c r="Q344">
        <v>3326</v>
      </c>
      <c r="R344">
        <v>4</v>
      </c>
      <c r="S344" t="s">
        <v>329</v>
      </c>
      <c r="T344" t="s">
        <v>314</v>
      </c>
      <c r="U344">
        <v>2007</v>
      </c>
      <c r="V344">
        <v>2953</v>
      </c>
    </row>
    <row r="345" spans="17:22">
      <c r="Q345">
        <v>3326</v>
      </c>
      <c r="R345">
        <v>4</v>
      </c>
      <c r="S345" t="s">
        <v>329</v>
      </c>
      <c r="T345" t="s">
        <v>314</v>
      </c>
      <c r="U345">
        <v>2008</v>
      </c>
      <c r="V345">
        <v>2709</v>
      </c>
    </row>
    <row r="346" spans="17:22">
      <c r="Q346">
        <v>3326</v>
      </c>
      <c r="R346">
        <v>4</v>
      </c>
      <c r="S346" t="s">
        <v>329</v>
      </c>
      <c r="T346" t="s">
        <v>314</v>
      </c>
      <c r="U346">
        <v>2009</v>
      </c>
      <c r="V346">
        <v>2144</v>
      </c>
    </row>
    <row r="347" spans="17:22">
      <c r="Q347">
        <v>3326</v>
      </c>
      <c r="R347">
        <v>4</v>
      </c>
      <c r="S347" t="s">
        <v>329</v>
      </c>
      <c r="T347" t="s">
        <v>314</v>
      </c>
      <c r="U347">
        <v>2010</v>
      </c>
      <c r="V347">
        <v>2206</v>
      </c>
    </row>
    <row r="348" spans="17:22">
      <c r="Q348">
        <v>3326</v>
      </c>
      <c r="R348">
        <v>4</v>
      </c>
      <c r="S348" t="s">
        <v>329</v>
      </c>
      <c r="T348" t="s">
        <v>314</v>
      </c>
      <c r="U348">
        <v>2011</v>
      </c>
      <c r="V348">
        <v>2344</v>
      </c>
    </row>
    <row r="349" spans="17:22">
      <c r="Q349">
        <v>3326</v>
      </c>
      <c r="R349">
        <v>4</v>
      </c>
      <c r="S349" t="s">
        <v>329</v>
      </c>
      <c r="T349" t="s">
        <v>314</v>
      </c>
      <c r="U349">
        <v>2012</v>
      </c>
      <c r="V349">
        <v>2712</v>
      </c>
    </row>
    <row r="350" spans="17:22">
      <c r="Q350">
        <v>3326</v>
      </c>
      <c r="R350">
        <v>4</v>
      </c>
      <c r="S350" t="s">
        <v>329</v>
      </c>
      <c r="T350" t="s">
        <v>314</v>
      </c>
      <c r="U350">
        <v>2013</v>
      </c>
      <c r="V350">
        <v>2852</v>
      </c>
    </row>
    <row r="351" spans="17:22">
      <c r="Q351">
        <v>3326</v>
      </c>
      <c r="R351">
        <v>4</v>
      </c>
      <c r="S351" t="s">
        <v>329</v>
      </c>
      <c r="T351" t="s">
        <v>314</v>
      </c>
      <c r="U351">
        <v>2014</v>
      </c>
      <c r="V351">
        <v>3065</v>
      </c>
    </row>
    <row r="352" spans="17:22">
      <c r="Q352">
        <v>3326</v>
      </c>
      <c r="R352">
        <v>4</v>
      </c>
      <c r="S352" t="s">
        <v>329</v>
      </c>
      <c r="T352" t="s">
        <v>314</v>
      </c>
      <c r="U352">
        <v>2015</v>
      </c>
      <c r="V352">
        <v>3198</v>
      </c>
    </row>
    <row r="353" spans="17:22">
      <c r="Q353">
        <v>3326</v>
      </c>
      <c r="R353">
        <v>4</v>
      </c>
      <c r="S353" t="s">
        <v>329</v>
      </c>
      <c r="T353" t="s">
        <v>314</v>
      </c>
      <c r="U353">
        <v>2016</v>
      </c>
      <c r="V353">
        <v>3327</v>
      </c>
    </row>
    <row r="354" spans="17:22">
      <c r="Q354">
        <v>3326</v>
      </c>
      <c r="R354">
        <v>4</v>
      </c>
      <c r="S354" t="s">
        <v>329</v>
      </c>
      <c r="T354" t="s">
        <v>314</v>
      </c>
      <c r="U354">
        <v>2017</v>
      </c>
      <c r="V354">
        <v>3425</v>
      </c>
    </row>
    <row r="355" spans="17:22">
      <c r="Q355">
        <v>3326</v>
      </c>
      <c r="R355">
        <v>4</v>
      </c>
      <c r="S355" t="s">
        <v>329</v>
      </c>
      <c r="T355" t="s">
        <v>314</v>
      </c>
      <c r="U355">
        <v>2018</v>
      </c>
      <c r="V355">
        <v>3444</v>
      </c>
    </row>
    <row r="356" spans="17:22">
      <c r="Q356">
        <v>3326</v>
      </c>
      <c r="R356">
        <v>4</v>
      </c>
      <c r="S356" t="s">
        <v>329</v>
      </c>
      <c r="T356" t="s">
        <v>314</v>
      </c>
      <c r="U356">
        <v>2019</v>
      </c>
      <c r="V356">
        <v>3431</v>
      </c>
    </row>
    <row r="357" spans="17:22">
      <c r="Q357">
        <v>3326</v>
      </c>
      <c r="R357">
        <v>4</v>
      </c>
      <c r="S357" t="s">
        <v>329</v>
      </c>
      <c r="T357" t="s">
        <v>314</v>
      </c>
      <c r="U357">
        <v>2020</v>
      </c>
      <c r="V357">
        <v>2963</v>
      </c>
    </row>
    <row r="358" spans="17:22">
      <c r="Q358">
        <v>3326</v>
      </c>
      <c r="R358">
        <v>4</v>
      </c>
      <c r="S358" t="s">
        <v>329</v>
      </c>
      <c r="T358" t="s">
        <v>314</v>
      </c>
      <c r="U358">
        <v>2021</v>
      </c>
      <c r="V358">
        <v>3376</v>
      </c>
    </row>
    <row r="359" spans="17:22">
      <c r="Q359">
        <v>3326</v>
      </c>
      <c r="R359">
        <v>4</v>
      </c>
      <c r="S359" t="s">
        <v>329</v>
      </c>
      <c r="T359" t="s">
        <v>314</v>
      </c>
      <c r="U359">
        <v>2022</v>
      </c>
      <c r="V359">
        <v>3047</v>
      </c>
    </row>
    <row r="360" spans="17:22">
      <c r="Q360">
        <v>3326</v>
      </c>
      <c r="R360">
        <v>4</v>
      </c>
      <c r="S360" t="s">
        <v>329</v>
      </c>
      <c r="T360" t="s">
        <v>314</v>
      </c>
      <c r="U360">
        <v>2023</v>
      </c>
      <c r="V360">
        <v>3073</v>
      </c>
    </row>
    <row r="361" spans="17:22">
      <c r="Q361">
        <v>3326</v>
      </c>
      <c r="R361">
        <v>4</v>
      </c>
      <c r="S361" t="s">
        <v>329</v>
      </c>
      <c r="T361" t="s">
        <v>314</v>
      </c>
      <c r="U361">
        <v>2024</v>
      </c>
      <c r="V361">
        <v>2869</v>
      </c>
    </row>
    <row r="362" spans="17:22">
      <c r="Q362">
        <v>3327</v>
      </c>
      <c r="R362">
        <v>4</v>
      </c>
      <c r="S362" t="s">
        <v>329</v>
      </c>
      <c r="T362" t="s">
        <v>314</v>
      </c>
      <c r="U362">
        <v>2001</v>
      </c>
      <c r="V362">
        <v>26164</v>
      </c>
    </row>
    <row r="363" spans="17:22">
      <c r="Q363">
        <v>3327</v>
      </c>
      <c r="R363">
        <v>4</v>
      </c>
      <c r="S363" t="s">
        <v>329</v>
      </c>
      <c r="T363" t="s">
        <v>314</v>
      </c>
      <c r="U363">
        <v>2002</v>
      </c>
      <c r="V363">
        <v>26087</v>
      </c>
    </row>
    <row r="364" spans="17:22">
      <c r="Q364">
        <v>3327</v>
      </c>
      <c r="R364">
        <v>4</v>
      </c>
      <c r="S364" t="s">
        <v>329</v>
      </c>
      <c r="T364" t="s">
        <v>314</v>
      </c>
      <c r="U364">
        <v>2003</v>
      </c>
      <c r="V364">
        <v>26700</v>
      </c>
    </row>
    <row r="365" spans="17:22">
      <c r="Q365">
        <v>3327</v>
      </c>
      <c r="R365">
        <v>4</v>
      </c>
      <c r="S365" t="s">
        <v>329</v>
      </c>
      <c r="T365" t="s">
        <v>314</v>
      </c>
      <c r="U365">
        <v>2004</v>
      </c>
      <c r="V365">
        <v>27123</v>
      </c>
    </row>
    <row r="366" spans="17:22">
      <c r="Q366">
        <v>3327</v>
      </c>
      <c r="R366">
        <v>4</v>
      </c>
      <c r="S366" t="s">
        <v>329</v>
      </c>
      <c r="T366" t="s">
        <v>314</v>
      </c>
      <c r="U366">
        <v>2005</v>
      </c>
      <c r="V366">
        <v>28816</v>
      </c>
    </row>
    <row r="367" spans="17:22">
      <c r="Q367">
        <v>3327</v>
      </c>
      <c r="R367">
        <v>4</v>
      </c>
      <c r="S367" t="s">
        <v>329</v>
      </c>
      <c r="T367" t="s">
        <v>314</v>
      </c>
      <c r="U367">
        <v>2006</v>
      </c>
      <c r="V367">
        <v>28487</v>
      </c>
    </row>
    <row r="368" spans="17:22">
      <c r="Q368">
        <v>3327</v>
      </c>
      <c r="R368">
        <v>4</v>
      </c>
      <c r="S368" t="s">
        <v>329</v>
      </c>
      <c r="T368" t="s">
        <v>314</v>
      </c>
      <c r="U368">
        <v>2007</v>
      </c>
      <c r="V368">
        <v>27591</v>
      </c>
    </row>
    <row r="369" spans="17:22">
      <c r="Q369">
        <v>3327</v>
      </c>
      <c r="R369">
        <v>4</v>
      </c>
      <c r="S369" t="s">
        <v>329</v>
      </c>
      <c r="T369" t="s">
        <v>314</v>
      </c>
      <c r="U369">
        <v>2008</v>
      </c>
      <c r="V369">
        <v>26725</v>
      </c>
    </row>
    <row r="370" spans="17:22">
      <c r="Q370">
        <v>3327</v>
      </c>
      <c r="R370">
        <v>4</v>
      </c>
      <c r="S370" t="s">
        <v>329</v>
      </c>
      <c r="T370" t="s">
        <v>314</v>
      </c>
      <c r="U370">
        <v>2009</v>
      </c>
      <c r="V370">
        <v>20427</v>
      </c>
    </row>
    <row r="371" spans="17:22">
      <c r="Q371">
        <v>3327</v>
      </c>
      <c r="R371">
        <v>4</v>
      </c>
      <c r="S371" t="s">
        <v>329</v>
      </c>
      <c r="T371" t="s">
        <v>314</v>
      </c>
      <c r="U371">
        <v>2010</v>
      </c>
      <c r="V371">
        <v>22459</v>
      </c>
    </row>
    <row r="372" spans="17:22">
      <c r="Q372">
        <v>3327</v>
      </c>
      <c r="R372">
        <v>4</v>
      </c>
      <c r="S372" t="s">
        <v>329</v>
      </c>
      <c r="T372" t="s">
        <v>314</v>
      </c>
      <c r="U372">
        <v>2011</v>
      </c>
      <c r="V372">
        <v>25851</v>
      </c>
    </row>
    <row r="373" spans="17:22">
      <c r="Q373">
        <v>3327</v>
      </c>
      <c r="R373">
        <v>4</v>
      </c>
      <c r="S373" t="s">
        <v>329</v>
      </c>
      <c r="T373" t="s">
        <v>314</v>
      </c>
      <c r="U373">
        <v>2012</v>
      </c>
      <c r="V373">
        <v>27761</v>
      </c>
    </row>
    <row r="374" spans="17:22">
      <c r="Q374">
        <v>3327</v>
      </c>
      <c r="R374">
        <v>4</v>
      </c>
      <c r="S374" t="s">
        <v>329</v>
      </c>
      <c r="T374" t="s">
        <v>314</v>
      </c>
      <c r="U374">
        <v>2013</v>
      </c>
      <c r="V374">
        <v>28616</v>
      </c>
    </row>
    <row r="375" spans="17:22">
      <c r="Q375">
        <v>3327</v>
      </c>
      <c r="R375">
        <v>4</v>
      </c>
      <c r="S375" t="s">
        <v>329</v>
      </c>
      <c r="T375" t="s">
        <v>314</v>
      </c>
      <c r="U375">
        <v>2014</v>
      </c>
      <c r="V375">
        <v>29807</v>
      </c>
    </row>
    <row r="376" spans="17:22">
      <c r="Q376">
        <v>3327</v>
      </c>
      <c r="R376">
        <v>4</v>
      </c>
      <c r="S376" t="s">
        <v>329</v>
      </c>
      <c r="T376" t="s">
        <v>314</v>
      </c>
      <c r="U376">
        <v>2015</v>
      </c>
      <c r="V376">
        <v>30775</v>
      </c>
    </row>
    <row r="377" spans="17:22">
      <c r="Q377">
        <v>3327</v>
      </c>
      <c r="R377">
        <v>4</v>
      </c>
      <c r="S377" t="s">
        <v>329</v>
      </c>
      <c r="T377" t="s">
        <v>314</v>
      </c>
      <c r="U377">
        <v>2016</v>
      </c>
      <c r="V377">
        <v>29903</v>
      </c>
    </row>
    <row r="378" spans="17:22">
      <c r="Q378">
        <v>3327</v>
      </c>
      <c r="R378">
        <v>4</v>
      </c>
      <c r="S378" t="s">
        <v>329</v>
      </c>
      <c r="T378" t="s">
        <v>314</v>
      </c>
      <c r="U378">
        <v>2017</v>
      </c>
      <c r="V378">
        <v>28752</v>
      </c>
    </row>
    <row r="379" spans="17:22">
      <c r="Q379">
        <v>3327</v>
      </c>
      <c r="R379">
        <v>4</v>
      </c>
      <c r="S379" t="s">
        <v>329</v>
      </c>
      <c r="T379" t="s">
        <v>314</v>
      </c>
      <c r="U379">
        <v>2018</v>
      </c>
      <c r="V379">
        <v>28818</v>
      </c>
    </row>
    <row r="380" spans="17:22">
      <c r="Q380">
        <v>3327</v>
      </c>
      <c r="R380">
        <v>4</v>
      </c>
      <c r="S380" t="s">
        <v>329</v>
      </c>
      <c r="T380" t="s">
        <v>314</v>
      </c>
      <c r="U380">
        <v>2019</v>
      </c>
      <c r="V380">
        <v>27275</v>
      </c>
    </row>
    <row r="381" spans="17:22">
      <c r="Q381">
        <v>3327</v>
      </c>
      <c r="R381">
        <v>4</v>
      </c>
      <c r="S381" t="s">
        <v>329</v>
      </c>
      <c r="T381" t="s">
        <v>314</v>
      </c>
      <c r="U381">
        <v>2020</v>
      </c>
      <c r="V381">
        <v>22818</v>
      </c>
    </row>
    <row r="382" spans="17:22">
      <c r="Q382">
        <v>3327</v>
      </c>
      <c r="R382">
        <v>4</v>
      </c>
      <c r="S382" t="s">
        <v>329</v>
      </c>
      <c r="T382" t="s">
        <v>314</v>
      </c>
      <c r="U382">
        <v>2021</v>
      </c>
      <c r="V382">
        <v>23522</v>
      </c>
    </row>
    <row r="383" spans="17:22">
      <c r="Q383">
        <v>3327</v>
      </c>
      <c r="R383">
        <v>4</v>
      </c>
      <c r="S383" t="s">
        <v>329</v>
      </c>
      <c r="T383" t="s">
        <v>314</v>
      </c>
      <c r="U383">
        <v>2022</v>
      </c>
      <c r="V383">
        <v>24314</v>
      </c>
    </row>
    <row r="384" spans="17:22">
      <c r="Q384">
        <v>3327</v>
      </c>
      <c r="R384">
        <v>4</v>
      </c>
      <c r="S384" t="s">
        <v>329</v>
      </c>
      <c r="T384" t="s">
        <v>314</v>
      </c>
      <c r="U384">
        <v>2023</v>
      </c>
      <c r="V384">
        <v>24940</v>
      </c>
    </row>
    <row r="385" spans="17:22">
      <c r="Q385">
        <v>3327</v>
      </c>
      <c r="R385">
        <v>4</v>
      </c>
      <c r="S385" t="s">
        <v>329</v>
      </c>
      <c r="T385" t="s">
        <v>314</v>
      </c>
      <c r="U385">
        <v>2024</v>
      </c>
      <c r="V385">
        <v>24530</v>
      </c>
    </row>
    <row r="386" spans="17:22">
      <c r="Q386">
        <v>3329</v>
      </c>
      <c r="R386">
        <v>4</v>
      </c>
      <c r="S386" t="s">
        <v>329</v>
      </c>
      <c r="T386" t="s">
        <v>314</v>
      </c>
      <c r="U386">
        <v>2001</v>
      </c>
      <c r="V386">
        <v>15390</v>
      </c>
    </row>
    <row r="387" spans="17:22">
      <c r="Q387">
        <v>3329</v>
      </c>
      <c r="R387">
        <v>4</v>
      </c>
      <c r="S387" t="s">
        <v>329</v>
      </c>
      <c r="T387" t="s">
        <v>314</v>
      </c>
      <c r="U387">
        <v>2002</v>
      </c>
      <c r="V387">
        <v>14215</v>
      </c>
    </row>
    <row r="388" spans="17:22">
      <c r="Q388">
        <v>3329</v>
      </c>
      <c r="R388">
        <v>4</v>
      </c>
      <c r="S388" t="s">
        <v>329</v>
      </c>
      <c r="T388" t="s">
        <v>314</v>
      </c>
      <c r="U388">
        <v>2003</v>
      </c>
      <c r="V388">
        <v>12921</v>
      </c>
    </row>
    <row r="389" spans="17:22">
      <c r="Q389">
        <v>3329</v>
      </c>
      <c r="R389">
        <v>4</v>
      </c>
      <c r="S389" t="s">
        <v>329</v>
      </c>
      <c r="T389" t="s">
        <v>314</v>
      </c>
      <c r="U389">
        <v>2004</v>
      </c>
      <c r="V389">
        <v>12901</v>
      </c>
    </row>
    <row r="390" spans="17:22">
      <c r="Q390">
        <v>3329</v>
      </c>
      <c r="R390">
        <v>4</v>
      </c>
      <c r="S390" t="s">
        <v>329</v>
      </c>
      <c r="T390" t="s">
        <v>314</v>
      </c>
      <c r="U390">
        <v>2005</v>
      </c>
      <c r="V390">
        <v>12322</v>
      </c>
    </row>
    <row r="391" spans="17:22">
      <c r="Q391">
        <v>3329</v>
      </c>
      <c r="R391">
        <v>4</v>
      </c>
      <c r="S391" t="s">
        <v>329</v>
      </c>
      <c r="T391" t="s">
        <v>314</v>
      </c>
      <c r="U391">
        <v>2006</v>
      </c>
      <c r="V391">
        <v>11531</v>
      </c>
    </row>
    <row r="392" spans="17:22">
      <c r="Q392">
        <v>3329</v>
      </c>
      <c r="R392">
        <v>4</v>
      </c>
      <c r="S392" t="s">
        <v>329</v>
      </c>
      <c r="T392" t="s">
        <v>314</v>
      </c>
      <c r="U392">
        <v>2007</v>
      </c>
      <c r="V392">
        <v>10537</v>
      </c>
    </row>
    <row r="393" spans="17:22">
      <c r="Q393">
        <v>3329</v>
      </c>
      <c r="R393">
        <v>4</v>
      </c>
      <c r="S393" t="s">
        <v>329</v>
      </c>
      <c r="T393" t="s">
        <v>314</v>
      </c>
      <c r="U393">
        <v>2008</v>
      </c>
      <c r="V393">
        <v>9984</v>
      </c>
    </row>
    <row r="394" spans="17:22">
      <c r="Q394">
        <v>3329</v>
      </c>
      <c r="R394">
        <v>4</v>
      </c>
      <c r="S394" t="s">
        <v>329</v>
      </c>
      <c r="T394" t="s">
        <v>314</v>
      </c>
      <c r="U394">
        <v>2009</v>
      </c>
      <c r="V394">
        <v>8191</v>
      </c>
    </row>
    <row r="395" spans="17:22">
      <c r="Q395">
        <v>3329</v>
      </c>
      <c r="R395">
        <v>4</v>
      </c>
      <c r="S395" t="s">
        <v>329</v>
      </c>
      <c r="T395" t="s">
        <v>314</v>
      </c>
      <c r="U395">
        <v>2010</v>
      </c>
      <c r="V395">
        <v>8725</v>
      </c>
    </row>
    <row r="396" spans="17:22">
      <c r="Q396">
        <v>3329</v>
      </c>
      <c r="R396">
        <v>4</v>
      </c>
      <c r="S396" t="s">
        <v>329</v>
      </c>
      <c r="T396" t="s">
        <v>314</v>
      </c>
      <c r="U396">
        <v>2011</v>
      </c>
      <c r="V396">
        <v>8976</v>
      </c>
    </row>
    <row r="397" spans="17:22">
      <c r="Q397">
        <v>3329</v>
      </c>
      <c r="R397">
        <v>4</v>
      </c>
      <c r="S397" t="s">
        <v>329</v>
      </c>
      <c r="T397" t="s">
        <v>314</v>
      </c>
      <c r="U397">
        <v>2012</v>
      </c>
      <c r="V397">
        <v>9424</v>
      </c>
    </row>
    <row r="398" spans="17:22">
      <c r="Q398">
        <v>3329</v>
      </c>
      <c r="R398">
        <v>4</v>
      </c>
      <c r="S398" t="s">
        <v>329</v>
      </c>
      <c r="T398" t="s">
        <v>314</v>
      </c>
      <c r="U398">
        <v>2013</v>
      </c>
      <c r="V398">
        <v>9222</v>
      </c>
    </row>
    <row r="399" spans="17:22">
      <c r="Q399">
        <v>3329</v>
      </c>
      <c r="R399">
        <v>4</v>
      </c>
      <c r="S399" t="s">
        <v>329</v>
      </c>
      <c r="T399" t="s">
        <v>314</v>
      </c>
      <c r="U399">
        <v>2014</v>
      </c>
      <c r="V399">
        <v>9592</v>
      </c>
    </row>
    <row r="400" spans="17:22">
      <c r="Q400">
        <v>3329</v>
      </c>
      <c r="R400">
        <v>4</v>
      </c>
      <c r="S400" t="s">
        <v>329</v>
      </c>
      <c r="T400" t="s">
        <v>314</v>
      </c>
      <c r="U400">
        <v>2015</v>
      </c>
      <c r="V400">
        <v>9936</v>
      </c>
    </row>
    <row r="401" spans="17:22">
      <c r="Q401">
        <v>3329</v>
      </c>
      <c r="R401">
        <v>4</v>
      </c>
      <c r="S401" t="s">
        <v>329</v>
      </c>
      <c r="T401" t="s">
        <v>314</v>
      </c>
      <c r="U401">
        <v>2016</v>
      </c>
      <c r="V401">
        <v>9927</v>
      </c>
    </row>
    <row r="402" spans="17:22">
      <c r="Q402">
        <v>3329</v>
      </c>
      <c r="R402">
        <v>4</v>
      </c>
      <c r="S402" t="s">
        <v>329</v>
      </c>
      <c r="T402" t="s">
        <v>314</v>
      </c>
      <c r="U402">
        <v>2017</v>
      </c>
      <c r="V402">
        <v>10259</v>
      </c>
    </row>
    <row r="403" spans="17:22">
      <c r="Q403">
        <v>3329</v>
      </c>
      <c r="R403">
        <v>4</v>
      </c>
      <c r="S403" t="s">
        <v>329</v>
      </c>
      <c r="T403" t="s">
        <v>314</v>
      </c>
      <c r="U403">
        <v>2018</v>
      </c>
      <c r="V403">
        <v>11286</v>
      </c>
    </row>
    <row r="404" spans="17:22">
      <c r="Q404">
        <v>3329</v>
      </c>
      <c r="R404">
        <v>4</v>
      </c>
      <c r="S404" t="s">
        <v>329</v>
      </c>
      <c r="T404" t="s">
        <v>314</v>
      </c>
      <c r="U404">
        <v>2019</v>
      </c>
      <c r="V404">
        <v>11452</v>
      </c>
    </row>
    <row r="405" spans="17:22">
      <c r="Q405">
        <v>3329</v>
      </c>
      <c r="R405">
        <v>4</v>
      </c>
      <c r="S405" t="s">
        <v>329</v>
      </c>
      <c r="T405" t="s">
        <v>314</v>
      </c>
      <c r="U405">
        <v>2020</v>
      </c>
      <c r="V405">
        <v>10135</v>
      </c>
    </row>
    <row r="406" spans="17:22">
      <c r="Q406">
        <v>3329</v>
      </c>
      <c r="R406">
        <v>4</v>
      </c>
      <c r="S406" t="s">
        <v>329</v>
      </c>
      <c r="T406" t="s">
        <v>314</v>
      </c>
      <c r="U406">
        <v>2021</v>
      </c>
      <c r="V406">
        <v>10152</v>
      </c>
    </row>
    <row r="407" spans="17:22">
      <c r="Q407">
        <v>3329</v>
      </c>
      <c r="R407">
        <v>4</v>
      </c>
      <c r="S407" t="s">
        <v>329</v>
      </c>
      <c r="T407" t="s">
        <v>314</v>
      </c>
      <c r="U407">
        <v>2022</v>
      </c>
      <c r="V407">
        <v>10472</v>
      </c>
    </row>
    <row r="408" spans="17:22">
      <c r="Q408">
        <v>3329</v>
      </c>
      <c r="R408">
        <v>4</v>
      </c>
      <c r="S408" t="s">
        <v>329</v>
      </c>
      <c r="T408" t="s">
        <v>314</v>
      </c>
      <c r="U408">
        <v>2023</v>
      </c>
      <c r="V408">
        <v>10880</v>
      </c>
    </row>
    <row r="409" spans="17:22">
      <c r="Q409">
        <v>3329</v>
      </c>
      <c r="R409">
        <v>4</v>
      </c>
      <c r="S409" t="s">
        <v>329</v>
      </c>
      <c r="T409" t="s">
        <v>314</v>
      </c>
      <c r="U409">
        <v>2024</v>
      </c>
      <c r="V409">
        <v>10865</v>
      </c>
    </row>
    <row r="410" spans="17:22">
      <c r="Q410">
        <v>3344</v>
      </c>
      <c r="R410">
        <v>4</v>
      </c>
      <c r="S410" t="s">
        <v>329</v>
      </c>
      <c r="T410" t="s">
        <v>314</v>
      </c>
      <c r="U410">
        <v>2001</v>
      </c>
      <c r="V410">
        <v>8133</v>
      </c>
    </row>
    <row r="411" spans="17:22">
      <c r="Q411">
        <v>3344</v>
      </c>
      <c r="R411">
        <v>4</v>
      </c>
      <c r="S411" t="s">
        <v>329</v>
      </c>
      <c r="T411" t="s">
        <v>314</v>
      </c>
      <c r="U411">
        <v>2002</v>
      </c>
      <c r="V411">
        <v>6974</v>
      </c>
    </row>
    <row r="412" spans="17:22">
      <c r="Q412">
        <v>3344</v>
      </c>
      <c r="R412">
        <v>4</v>
      </c>
      <c r="S412" t="s">
        <v>329</v>
      </c>
      <c r="T412" t="s">
        <v>314</v>
      </c>
      <c r="U412">
        <v>2003</v>
      </c>
      <c r="V412">
        <v>6224</v>
      </c>
    </row>
    <row r="413" spans="17:22">
      <c r="Q413">
        <v>3344</v>
      </c>
      <c r="R413">
        <v>4</v>
      </c>
      <c r="S413" t="s">
        <v>329</v>
      </c>
      <c r="T413" t="s">
        <v>314</v>
      </c>
      <c r="U413">
        <v>2004</v>
      </c>
      <c r="V413">
        <v>6133</v>
      </c>
    </row>
    <row r="414" spans="17:22">
      <c r="Q414">
        <v>3344</v>
      </c>
      <c r="R414">
        <v>4</v>
      </c>
      <c r="S414" t="s">
        <v>329</v>
      </c>
      <c r="T414" t="s">
        <v>314</v>
      </c>
      <c r="U414">
        <v>2005</v>
      </c>
      <c r="V414">
        <v>6369</v>
      </c>
    </row>
    <row r="415" spans="17:22">
      <c r="Q415">
        <v>3344</v>
      </c>
      <c r="R415">
        <v>4</v>
      </c>
      <c r="S415" t="s">
        <v>329</v>
      </c>
      <c r="T415" t="s">
        <v>314</v>
      </c>
      <c r="U415">
        <v>2006</v>
      </c>
      <c r="V415">
        <v>6932</v>
      </c>
    </row>
    <row r="416" spans="17:22">
      <c r="Q416">
        <v>3344</v>
      </c>
      <c r="R416">
        <v>4</v>
      </c>
      <c r="S416" t="s">
        <v>329</v>
      </c>
      <c r="T416" t="s">
        <v>314</v>
      </c>
      <c r="U416">
        <v>2007</v>
      </c>
      <c r="V416">
        <v>7144</v>
      </c>
    </row>
    <row r="417" spans="17:22">
      <c r="Q417">
        <v>3344</v>
      </c>
      <c r="R417">
        <v>4</v>
      </c>
      <c r="S417" t="s">
        <v>329</v>
      </c>
      <c r="T417" t="s">
        <v>314</v>
      </c>
      <c r="U417">
        <v>2008</v>
      </c>
      <c r="V417">
        <v>7547</v>
      </c>
    </row>
    <row r="418" spans="17:22">
      <c r="Q418">
        <v>3344</v>
      </c>
      <c r="R418">
        <v>4</v>
      </c>
      <c r="S418" t="s">
        <v>329</v>
      </c>
      <c r="T418" t="s">
        <v>314</v>
      </c>
      <c r="U418">
        <v>2009</v>
      </c>
      <c r="V418">
        <v>6470</v>
      </c>
    </row>
    <row r="419" spans="17:22">
      <c r="Q419">
        <v>3344</v>
      </c>
      <c r="R419">
        <v>4</v>
      </c>
      <c r="S419" t="s">
        <v>329</v>
      </c>
      <c r="T419" t="s">
        <v>314</v>
      </c>
      <c r="U419">
        <v>2010</v>
      </c>
      <c r="V419">
        <v>6730</v>
      </c>
    </row>
    <row r="420" spans="17:22">
      <c r="Q420">
        <v>3344</v>
      </c>
      <c r="R420">
        <v>4</v>
      </c>
      <c r="S420" t="s">
        <v>329</v>
      </c>
      <c r="T420" t="s">
        <v>314</v>
      </c>
      <c r="U420">
        <v>2011</v>
      </c>
      <c r="V420">
        <v>7558</v>
      </c>
    </row>
    <row r="421" spans="17:22">
      <c r="Q421">
        <v>3344</v>
      </c>
      <c r="R421">
        <v>4</v>
      </c>
      <c r="S421" t="s">
        <v>329</v>
      </c>
      <c r="T421" t="s">
        <v>314</v>
      </c>
      <c r="U421">
        <v>2012</v>
      </c>
      <c r="V421">
        <v>7707</v>
      </c>
    </row>
    <row r="422" spans="17:22">
      <c r="Q422">
        <v>3344</v>
      </c>
      <c r="R422">
        <v>4</v>
      </c>
      <c r="S422" t="s">
        <v>329</v>
      </c>
      <c r="T422" t="s">
        <v>314</v>
      </c>
      <c r="U422">
        <v>2013</v>
      </c>
      <c r="V422">
        <v>7401</v>
      </c>
    </row>
    <row r="423" spans="17:22">
      <c r="Q423">
        <v>3344</v>
      </c>
      <c r="R423">
        <v>4</v>
      </c>
      <c r="S423" t="s">
        <v>329</v>
      </c>
      <c r="T423" t="s">
        <v>314</v>
      </c>
      <c r="U423">
        <v>2014</v>
      </c>
      <c r="V423">
        <v>7843</v>
      </c>
    </row>
    <row r="424" spans="17:22">
      <c r="Q424">
        <v>3344</v>
      </c>
      <c r="R424">
        <v>4</v>
      </c>
      <c r="S424" t="s">
        <v>329</v>
      </c>
      <c r="T424" t="s">
        <v>314</v>
      </c>
      <c r="U424">
        <v>2015</v>
      </c>
      <c r="V424">
        <v>8694</v>
      </c>
    </row>
    <row r="425" spans="17:22">
      <c r="Q425">
        <v>3344</v>
      </c>
      <c r="R425">
        <v>4</v>
      </c>
      <c r="S425" t="s">
        <v>329</v>
      </c>
      <c r="T425" t="s">
        <v>314</v>
      </c>
      <c r="U425">
        <v>2016</v>
      </c>
      <c r="V425">
        <v>9301</v>
      </c>
    </row>
    <row r="426" spans="17:22">
      <c r="Q426">
        <v>3344</v>
      </c>
      <c r="R426">
        <v>4</v>
      </c>
      <c r="S426" t="s">
        <v>329</v>
      </c>
      <c r="T426" t="s">
        <v>314</v>
      </c>
      <c r="U426">
        <v>2017</v>
      </c>
      <c r="V426">
        <v>9821</v>
      </c>
    </row>
    <row r="427" spans="17:22">
      <c r="Q427">
        <v>3344</v>
      </c>
      <c r="R427">
        <v>4</v>
      </c>
      <c r="S427" t="s">
        <v>329</v>
      </c>
      <c r="T427" t="s">
        <v>314</v>
      </c>
      <c r="U427">
        <v>2018</v>
      </c>
      <c r="V427">
        <v>10170</v>
      </c>
    </row>
    <row r="428" spans="17:22">
      <c r="Q428">
        <v>3344</v>
      </c>
      <c r="R428">
        <v>4</v>
      </c>
      <c r="S428" t="s">
        <v>329</v>
      </c>
      <c r="T428" t="s">
        <v>314</v>
      </c>
      <c r="U428">
        <v>2019</v>
      </c>
      <c r="V428">
        <v>10433</v>
      </c>
    </row>
    <row r="429" spans="17:22">
      <c r="Q429">
        <v>3344</v>
      </c>
      <c r="R429">
        <v>4</v>
      </c>
      <c r="S429" t="s">
        <v>329</v>
      </c>
      <c r="T429" t="s">
        <v>314</v>
      </c>
      <c r="U429">
        <v>2020</v>
      </c>
      <c r="V429">
        <v>9814</v>
      </c>
    </row>
    <row r="430" spans="17:22">
      <c r="Q430">
        <v>3344</v>
      </c>
      <c r="R430">
        <v>4</v>
      </c>
      <c r="S430" t="s">
        <v>329</v>
      </c>
      <c r="T430" t="s">
        <v>314</v>
      </c>
      <c r="U430">
        <v>2021</v>
      </c>
      <c r="V430">
        <v>10296</v>
      </c>
    </row>
    <row r="431" spans="17:22">
      <c r="Q431">
        <v>3344</v>
      </c>
      <c r="R431">
        <v>4</v>
      </c>
      <c r="S431" t="s">
        <v>329</v>
      </c>
      <c r="T431" t="s">
        <v>314</v>
      </c>
      <c r="U431">
        <v>2022</v>
      </c>
      <c r="V431">
        <v>10772</v>
      </c>
    </row>
    <row r="432" spans="17:22">
      <c r="Q432">
        <v>3344</v>
      </c>
      <c r="R432">
        <v>4</v>
      </c>
      <c r="S432" t="s">
        <v>329</v>
      </c>
      <c r="T432" t="s">
        <v>314</v>
      </c>
      <c r="U432">
        <v>2023</v>
      </c>
      <c r="V432">
        <v>11925</v>
      </c>
    </row>
    <row r="433" spans="17:22">
      <c r="Q433">
        <v>3344</v>
      </c>
      <c r="R433">
        <v>4</v>
      </c>
      <c r="S433" t="s">
        <v>329</v>
      </c>
      <c r="T433" t="s">
        <v>314</v>
      </c>
      <c r="U433">
        <v>2024</v>
      </c>
      <c r="V433">
        <v>12179</v>
      </c>
    </row>
    <row r="434" spans="17:22">
      <c r="Q434">
        <v>3336</v>
      </c>
      <c r="R434">
        <v>5</v>
      </c>
      <c r="S434" t="s">
        <v>336</v>
      </c>
      <c r="T434" t="s">
        <v>314</v>
      </c>
      <c r="U434">
        <v>2001</v>
      </c>
      <c r="V434">
        <v>4912</v>
      </c>
    </row>
    <row r="435" spans="17:22">
      <c r="Q435">
        <v>3336</v>
      </c>
      <c r="R435">
        <v>5</v>
      </c>
      <c r="S435" t="s">
        <v>336</v>
      </c>
      <c r="T435" t="s">
        <v>314</v>
      </c>
      <c r="U435">
        <v>2002</v>
      </c>
      <c r="V435">
        <v>4690</v>
      </c>
    </row>
    <row r="436" spans="17:22">
      <c r="Q436">
        <v>3336</v>
      </c>
      <c r="R436">
        <v>5</v>
      </c>
      <c r="S436" t="s">
        <v>336</v>
      </c>
      <c r="T436" t="s">
        <v>314</v>
      </c>
      <c r="U436">
        <v>2003</v>
      </c>
      <c r="V436">
        <v>4377</v>
      </c>
    </row>
    <row r="437" spans="17:22">
      <c r="Q437">
        <v>3336</v>
      </c>
      <c r="R437">
        <v>5</v>
      </c>
      <c r="S437" t="s">
        <v>336</v>
      </c>
      <c r="T437" t="s">
        <v>314</v>
      </c>
      <c r="U437">
        <v>2004</v>
      </c>
      <c r="V437">
        <v>4612</v>
      </c>
    </row>
    <row r="438" spans="17:22">
      <c r="Q438">
        <v>3336</v>
      </c>
      <c r="R438">
        <v>5</v>
      </c>
      <c r="S438" t="s">
        <v>336</v>
      </c>
      <c r="T438" t="s">
        <v>314</v>
      </c>
      <c r="U438">
        <v>2005</v>
      </c>
      <c r="V438">
        <v>4598</v>
      </c>
    </row>
    <row r="439" spans="17:22">
      <c r="Q439">
        <v>3336</v>
      </c>
      <c r="R439">
        <v>5</v>
      </c>
      <c r="S439" t="s">
        <v>336</v>
      </c>
      <c r="T439" t="s">
        <v>314</v>
      </c>
      <c r="U439">
        <v>2006</v>
      </c>
      <c r="V439">
        <v>4389</v>
      </c>
    </row>
    <row r="440" spans="17:22">
      <c r="Q440">
        <v>3336</v>
      </c>
      <c r="R440">
        <v>5</v>
      </c>
      <c r="S440" t="s">
        <v>336</v>
      </c>
      <c r="T440" t="s">
        <v>314</v>
      </c>
      <c r="U440">
        <v>2007</v>
      </c>
      <c r="V440">
        <v>4174</v>
      </c>
    </row>
    <row r="441" spans="17:22">
      <c r="Q441">
        <v>3336</v>
      </c>
      <c r="R441">
        <v>5</v>
      </c>
      <c r="S441" t="s">
        <v>336</v>
      </c>
      <c r="T441" t="s">
        <v>314</v>
      </c>
      <c r="U441">
        <v>2008</v>
      </c>
      <c r="V441">
        <v>4473</v>
      </c>
    </row>
    <row r="442" spans="17:22">
      <c r="Q442">
        <v>3336</v>
      </c>
      <c r="R442">
        <v>5</v>
      </c>
      <c r="S442" t="s">
        <v>336</v>
      </c>
      <c r="T442" t="s">
        <v>314</v>
      </c>
      <c r="U442">
        <v>2009</v>
      </c>
      <c r="V442">
        <v>3882</v>
      </c>
    </row>
    <row r="443" spans="17:22">
      <c r="Q443">
        <v>3336</v>
      </c>
      <c r="R443">
        <v>5</v>
      </c>
      <c r="S443" t="s">
        <v>336</v>
      </c>
      <c r="T443" t="s">
        <v>314</v>
      </c>
      <c r="U443">
        <v>2010</v>
      </c>
      <c r="V443">
        <v>3736</v>
      </c>
    </row>
    <row r="444" spans="17:22">
      <c r="Q444">
        <v>3336</v>
      </c>
      <c r="R444">
        <v>5</v>
      </c>
      <c r="S444" t="s">
        <v>336</v>
      </c>
      <c r="T444" t="s">
        <v>314</v>
      </c>
      <c r="U444">
        <v>2011</v>
      </c>
      <c r="V444">
        <v>4083</v>
      </c>
    </row>
    <row r="445" spans="17:22">
      <c r="Q445">
        <v>3336</v>
      </c>
      <c r="R445">
        <v>5</v>
      </c>
      <c r="S445" t="s">
        <v>336</v>
      </c>
      <c r="T445" t="s">
        <v>314</v>
      </c>
      <c r="U445">
        <v>2012</v>
      </c>
      <c r="V445">
        <v>4210</v>
      </c>
    </row>
    <row r="446" spans="17:22">
      <c r="Q446">
        <v>3336</v>
      </c>
      <c r="R446">
        <v>5</v>
      </c>
      <c r="S446" t="s">
        <v>336</v>
      </c>
      <c r="T446" t="s">
        <v>314</v>
      </c>
      <c r="U446">
        <v>2013</v>
      </c>
      <c r="V446">
        <v>4086</v>
      </c>
    </row>
    <row r="447" spans="17:22">
      <c r="Q447">
        <v>3336</v>
      </c>
      <c r="R447">
        <v>5</v>
      </c>
      <c r="S447" t="s">
        <v>336</v>
      </c>
      <c r="T447" t="s">
        <v>314</v>
      </c>
      <c r="U447">
        <v>2014</v>
      </c>
      <c r="V447">
        <v>4252</v>
      </c>
    </row>
    <row r="448" spans="17:22">
      <c r="Q448">
        <v>3336</v>
      </c>
      <c r="R448">
        <v>5</v>
      </c>
      <c r="S448" t="s">
        <v>336</v>
      </c>
      <c r="T448" t="s">
        <v>314</v>
      </c>
      <c r="U448">
        <v>2015</v>
      </c>
      <c r="V448">
        <v>4504</v>
      </c>
    </row>
    <row r="449" spans="17:22">
      <c r="Q449">
        <v>3336</v>
      </c>
      <c r="R449">
        <v>5</v>
      </c>
      <c r="S449" t="s">
        <v>336</v>
      </c>
      <c r="T449" t="s">
        <v>314</v>
      </c>
      <c r="U449">
        <v>2016</v>
      </c>
      <c r="V449">
        <v>4349</v>
      </c>
    </row>
    <row r="450" spans="17:22">
      <c r="Q450">
        <v>3336</v>
      </c>
      <c r="R450">
        <v>5</v>
      </c>
      <c r="S450" t="s">
        <v>336</v>
      </c>
      <c r="T450" t="s">
        <v>314</v>
      </c>
      <c r="U450">
        <v>2017</v>
      </c>
      <c r="V450">
        <v>4325</v>
      </c>
    </row>
    <row r="451" spans="17:22">
      <c r="Q451">
        <v>3336</v>
      </c>
      <c r="R451">
        <v>5</v>
      </c>
      <c r="S451" t="s">
        <v>336</v>
      </c>
      <c r="T451" t="s">
        <v>314</v>
      </c>
      <c r="U451">
        <v>2018</v>
      </c>
      <c r="V451">
        <v>4502</v>
      </c>
    </row>
    <row r="452" spans="17:22">
      <c r="Q452">
        <v>3336</v>
      </c>
      <c r="R452">
        <v>5</v>
      </c>
      <c r="S452" t="s">
        <v>336</v>
      </c>
      <c r="T452" t="s">
        <v>314</v>
      </c>
      <c r="U452">
        <v>2019</v>
      </c>
      <c r="V452">
        <v>4743</v>
      </c>
    </row>
    <row r="453" spans="17:22">
      <c r="Q453">
        <v>3336</v>
      </c>
      <c r="R453">
        <v>5</v>
      </c>
      <c r="S453" t="s">
        <v>336</v>
      </c>
      <c r="T453" t="s">
        <v>314</v>
      </c>
      <c r="U453">
        <v>2020</v>
      </c>
      <c r="V453">
        <v>4302</v>
      </c>
    </row>
    <row r="454" spans="17:22">
      <c r="Q454">
        <v>3336</v>
      </c>
      <c r="R454">
        <v>5</v>
      </c>
      <c r="S454" t="s">
        <v>336</v>
      </c>
      <c r="T454" t="s">
        <v>314</v>
      </c>
      <c r="U454">
        <v>2021</v>
      </c>
      <c r="V454">
        <v>4605</v>
      </c>
    </row>
    <row r="455" spans="17:22">
      <c r="Q455">
        <v>3336</v>
      </c>
      <c r="R455">
        <v>5</v>
      </c>
      <c r="S455" t="s">
        <v>336</v>
      </c>
      <c r="T455" t="s">
        <v>314</v>
      </c>
      <c r="U455">
        <v>2022</v>
      </c>
      <c r="V455">
        <v>4750</v>
      </c>
    </row>
    <row r="456" spans="17:22">
      <c r="Q456">
        <v>3336</v>
      </c>
      <c r="R456">
        <v>5</v>
      </c>
      <c r="S456" t="s">
        <v>336</v>
      </c>
      <c r="T456" t="s">
        <v>314</v>
      </c>
      <c r="U456">
        <v>2023</v>
      </c>
      <c r="V456">
        <v>4995</v>
      </c>
    </row>
    <row r="457" spans="17:22">
      <c r="Q457">
        <v>3336</v>
      </c>
      <c r="R457">
        <v>5</v>
      </c>
      <c r="S457" t="s">
        <v>336</v>
      </c>
      <c r="T457" t="s">
        <v>314</v>
      </c>
      <c r="U457">
        <v>2024</v>
      </c>
      <c r="V457">
        <v>4970</v>
      </c>
    </row>
    <row r="458" spans="17:22">
      <c r="Q458">
        <v>3345</v>
      </c>
      <c r="R458">
        <v>5</v>
      </c>
      <c r="S458" t="s">
        <v>336</v>
      </c>
      <c r="T458" t="s">
        <v>314</v>
      </c>
      <c r="U458">
        <v>2001</v>
      </c>
      <c r="V458">
        <v>9488</v>
      </c>
    </row>
    <row r="459" spans="17:22">
      <c r="Q459">
        <v>3345</v>
      </c>
      <c r="R459">
        <v>5</v>
      </c>
      <c r="S459" t="s">
        <v>336</v>
      </c>
      <c r="T459" t="s">
        <v>314</v>
      </c>
      <c r="U459">
        <v>2002</v>
      </c>
      <c r="V459">
        <v>8563</v>
      </c>
    </row>
    <row r="460" spans="17:22">
      <c r="Q460">
        <v>3345</v>
      </c>
      <c r="R460">
        <v>5</v>
      </c>
      <c r="S460" t="s">
        <v>336</v>
      </c>
      <c r="T460" t="s">
        <v>314</v>
      </c>
      <c r="U460">
        <v>2003</v>
      </c>
      <c r="V460">
        <v>8300</v>
      </c>
    </row>
    <row r="461" spans="17:22">
      <c r="Q461">
        <v>3345</v>
      </c>
      <c r="R461">
        <v>5</v>
      </c>
      <c r="S461" t="s">
        <v>336</v>
      </c>
      <c r="T461" t="s">
        <v>314</v>
      </c>
      <c r="U461">
        <v>2004</v>
      </c>
      <c r="V461">
        <v>8304</v>
      </c>
    </row>
    <row r="462" spans="17:22">
      <c r="Q462">
        <v>3345</v>
      </c>
      <c r="R462">
        <v>5</v>
      </c>
      <c r="S462" t="s">
        <v>336</v>
      </c>
      <c r="T462" t="s">
        <v>314</v>
      </c>
      <c r="U462">
        <v>2005</v>
      </c>
      <c r="V462">
        <v>9239</v>
      </c>
    </row>
    <row r="463" spans="17:22">
      <c r="Q463">
        <v>3345</v>
      </c>
      <c r="R463">
        <v>5</v>
      </c>
      <c r="S463" t="s">
        <v>336</v>
      </c>
      <c r="T463" t="s">
        <v>314</v>
      </c>
      <c r="U463">
        <v>2006</v>
      </c>
      <c r="V463">
        <v>9616</v>
      </c>
    </row>
    <row r="464" spans="17:22">
      <c r="Q464">
        <v>3345</v>
      </c>
      <c r="R464">
        <v>5</v>
      </c>
      <c r="S464" t="s">
        <v>336</v>
      </c>
      <c r="T464" t="s">
        <v>314</v>
      </c>
      <c r="U464">
        <v>2007</v>
      </c>
      <c r="V464">
        <v>9745</v>
      </c>
    </row>
    <row r="465" spans="17:22">
      <c r="Q465">
        <v>3345</v>
      </c>
      <c r="R465">
        <v>5</v>
      </c>
      <c r="S465" t="s">
        <v>336</v>
      </c>
      <c r="T465" t="s">
        <v>314</v>
      </c>
      <c r="U465">
        <v>2008</v>
      </c>
      <c r="V465">
        <v>9636</v>
      </c>
    </row>
    <row r="466" spans="17:22">
      <c r="Q466">
        <v>3345</v>
      </c>
      <c r="R466">
        <v>5</v>
      </c>
      <c r="S466" t="s">
        <v>336</v>
      </c>
      <c r="T466" t="s">
        <v>314</v>
      </c>
      <c r="U466">
        <v>2009</v>
      </c>
      <c r="V466">
        <v>8498</v>
      </c>
    </row>
    <row r="467" spans="17:22">
      <c r="Q467">
        <v>3345</v>
      </c>
      <c r="R467">
        <v>5</v>
      </c>
      <c r="S467" t="s">
        <v>336</v>
      </c>
      <c r="T467" t="s">
        <v>314</v>
      </c>
      <c r="U467">
        <v>2010</v>
      </c>
      <c r="V467">
        <v>7860</v>
      </c>
    </row>
    <row r="468" spans="17:22">
      <c r="Q468">
        <v>3345</v>
      </c>
      <c r="R468">
        <v>5</v>
      </c>
      <c r="S468" t="s">
        <v>336</v>
      </c>
      <c r="T468" t="s">
        <v>314</v>
      </c>
      <c r="U468">
        <v>2011</v>
      </c>
      <c r="V468">
        <v>7846</v>
      </c>
    </row>
    <row r="469" spans="17:22">
      <c r="Q469">
        <v>3345</v>
      </c>
      <c r="R469">
        <v>5</v>
      </c>
      <c r="S469" t="s">
        <v>336</v>
      </c>
      <c r="T469" t="s">
        <v>314</v>
      </c>
      <c r="U469">
        <v>2012</v>
      </c>
      <c r="V469">
        <v>8199</v>
      </c>
    </row>
    <row r="470" spans="17:22">
      <c r="Q470">
        <v>3345</v>
      </c>
      <c r="R470">
        <v>5</v>
      </c>
      <c r="S470" t="s">
        <v>336</v>
      </c>
      <c r="T470" t="s">
        <v>314</v>
      </c>
      <c r="U470">
        <v>2013</v>
      </c>
      <c r="V470">
        <v>8522</v>
      </c>
    </row>
    <row r="471" spans="17:22">
      <c r="Q471">
        <v>3345</v>
      </c>
      <c r="R471">
        <v>5</v>
      </c>
      <c r="S471" t="s">
        <v>336</v>
      </c>
      <c r="T471" t="s">
        <v>314</v>
      </c>
      <c r="U471">
        <v>2014</v>
      </c>
      <c r="V471">
        <v>8595</v>
      </c>
    </row>
    <row r="472" spans="17:22">
      <c r="Q472">
        <v>3345</v>
      </c>
      <c r="R472">
        <v>5</v>
      </c>
      <c r="S472" t="s">
        <v>336</v>
      </c>
      <c r="T472" t="s">
        <v>314</v>
      </c>
      <c r="U472">
        <v>2015</v>
      </c>
      <c r="V472">
        <v>9046</v>
      </c>
    </row>
    <row r="473" spans="17:22">
      <c r="Q473">
        <v>3345</v>
      </c>
      <c r="R473">
        <v>5</v>
      </c>
      <c r="S473" t="s">
        <v>336</v>
      </c>
      <c r="T473" t="s">
        <v>314</v>
      </c>
      <c r="U473">
        <v>2016</v>
      </c>
      <c r="V473">
        <v>8913</v>
      </c>
    </row>
    <row r="474" spans="17:22">
      <c r="Q474">
        <v>3345</v>
      </c>
      <c r="R474">
        <v>5</v>
      </c>
      <c r="S474" t="s">
        <v>336</v>
      </c>
      <c r="T474" t="s">
        <v>314</v>
      </c>
      <c r="U474">
        <v>2017</v>
      </c>
      <c r="V474">
        <v>8919</v>
      </c>
    </row>
    <row r="475" spans="17:22">
      <c r="Q475">
        <v>3345</v>
      </c>
      <c r="R475">
        <v>5</v>
      </c>
      <c r="S475" t="s">
        <v>336</v>
      </c>
      <c r="T475" t="s">
        <v>314</v>
      </c>
      <c r="U475">
        <v>2018</v>
      </c>
      <c r="V475">
        <v>9027</v>
      </c>
    </row>
    <row r="476" spans="17:22">
      <c r="Q476">
        <v>3345</v>
      </c>
      <c r="R476">
        <v>5</v>
      </c>
      <c r="S476" t="s">
        <v>336</v>
      </c>
      <c r="T476" t="s">
        <v>314</v>
      </c>
      <c r="U476">
        <v>2019</v>
      </c>
      <c r="V476">
        <v>9147</v>
      </c>
    </row>
    <row r="477" spans="17:22">
      <c r="Q477">
        <v>3345</v>
      </c>
      <c r="R477">
        <v>5</v>
      </c>
      <c r="S477" t="s">
        <v>336</v>
      </c>
      <c r="T477" t="s">
        <v>314</v>
      </c>
      <c r="U477">
        <v>2020</v>
      </c>
      <c r="V477">
        <v>8227</v>
      </c>
    </row>
    <row r="478" spans="17:22">
      <c r="Q478">
        <v>3345</v>
      </c>
      <c r="R478">
        <v>5</v>
      </c>
      <c r="S478" t="s">
        <v>336</v>
      </c>
      <c r="T478" t="s">
        <v>314</v>
      </c>
      <c r="U478">
        <v>2021</v>
      </c>
      <c r="V478">
        <v>8449</v>
      </c>
    </row>
    <row r="479" spans="17:22">
      <c r="Q479">
        <v>3345</v>
      </c>
      <c r="R479">
        <v>5</v>
      </c>
      <c r="S479" t="s">
        <v>336</v>
      </c>
      <c r="T479" t="s">
        <v>314</v>
      </c>
      <c r="U479">
        <v>2022</v>
      </c>
      <c r="V479">
        <v>8628</v>
      </c>
    </row>
    <row r="480" spans="17:22">
      <c r="Q480">
        <v>3345</v>
      </c>
      <c r="R480">
        <v>5</v>
      </c>
      <c r="S480" t="s">
        <v>336</v>
      </c>
      <c r="T480" t="s">
        <v>314</v>
      </c>
      <c r="U480">
        <v>2023</v>
      </c>
      <c r="V480">
        <v>8771</v>
      </c>
    </row>
    <row r="481" spans="17:22">
      <c r="Q481">
        <v>3345</v>
      </c>
      <c r="R481">
        <v>5</v>
      </c>
      <c r="S481" t="s">
        <v>336</v>
      </c>
      <c r="T481" t="s">
        <v>314</v>
      </c>
      <c r="U481">
        <v>2024</v>
      </c>
      <c r="V481">
        <v>8867</v>
      </c>
    </row>
    <row r="482" spans="17:22">
      <c r="Q482">
        <v>3359</v>
      </c>
      <c r="R482">
        <v>5</v>
      </c>
      <c r="S482" t="s">
        <v>336</v>
      </c>
      <c r="T482" t="s">
        <v>314</v>
      </c>
      <c r="U482">
        <v>2001</v>
      </c>
      <c r="V482">
        <v>1798</v>
      </c>
    </row>
    <row r="483" spans="17:22">
      <c r="Q483">
        <v>3359</v>
      </c>
      <c r="R483">
        <v>5</v>
      </c>
      <c r="S483" t="s">
        <v>336</v>
      </c>
      <c r="T483" t="s">
        <v>314</v>
      </c>
      <c r="U483">
        <v>2002</v>
      </c>
      <c r="V483">
        <v>2001</v>
      </c>
    </row>
    <row r="484" spans="17:22">
      <c r="Q484">
        <v>3359</v>
      </c>
      <c r="R484">
        <v>5</v>
      </c>
      <c r="S484" t="s">
        <v>336</v>
      </c>
      <c r="T484" t="s">
        <v>314</v>
      </c>
      <c r="U484">
        <v>2003</v>
      </c>
      <c r="V484">
        <v>2048</v>
      </c>
    </row>
    <row r="485" spans="17:22">
      <c r="Q485">
        <v>3359</v>
      </c>
      <c r="R485">
        <v>5</v>
      </c>
      <c r="S485" t="s">
        <v>336</v>
      </c>
      <c r="T485" t="s">
        <v>314</v>
      </c>
      <c r="U485">
        <v>2004</v>
      </c>
      <c r="V485">
        <v>1992</v>
      </c>
    </row>
    <row r="486" spans="17:22">
      <c r="Q486">
        <v>3359</v>
      </c>
      <c r="R486">
        <v>5</v>
      </c>
      <c r="S486" t="s">
        <v>336</v>
      </c>
      <c r="T486" t="s">
        <v>314</v>
      </c>
      <c r="U486">
        <v>2005</v>
      </c>
      <c r="V486">
        <v>1778</v>
      </c>
    </row>
    <row r="487" spans="17:22">
      <c r="Q487">
        <v>3359</v>
      </c>
      <c r="R487">
        <v>5</v>
      </c>
      <c r="S487" t="s">
        <v>336</v>
      </c>
      <c r="T487" t="s">
        <v>314</v>
      </c>
      <c r="U487">
        <v>2006</v>
      </c>
      <c r="V487">
        <v>1809</v>
      </c>
    </row>
    <row r="488" spans="17:22">
      <c r="Q488">
        <v>3359</v>
      </c>
      <c r="R488">
        <v>5</v>
      </c>
      <c r="S488" t="s">
        <v>336</v>
      </c>
      <c r="T488" t="s">
        <v>314</v>
      </c>
      <c r="U488">
        <v>2007</v>
      </c>
      <c r="V488">
        <v>1832</v>
      </c>
    </row>
    <row r="489" spans="17:22">
      <c r="Q489">
        <v>3359</v>
      </c>
      <c r="R489">
        <v>5</v>
      </c>
      <c r="S489" t="s">
        <v>336</v>
      </c>
      <c r="T489" t="s">
        <v>314</v>
      </c>
      <c r="U489">
        <v>2008</v>
      </c>
      <c r="V489">
        <v>1756</v>
      </c>
    </row>
    <row r="490" spans="17:22">
      <c r="Q490">
        <v>3359</v>
      </c>
      <c r="R490">
        <v>5</v>
      </c>
      <c r="S490" t="s">
        <v>336</v>
      </c>
      <c r="T490" t="s">
        <v>314</v>
      </c>
      <c r="U490">
        <v>2009</v>
      </c>
      <c r="V490">
        <v>1485</v>
      </c>
    </row>
    <row r="491" spans="17:22">
      <c r="Q491">
        <v>3359</v>
      </c>
      <c r="R491">
        <v>5</v>
      </c>
      <c r="S491" t="s">
        <v>336</v>
      </c>
      <c r="T491" t="s">
        <v>314</v>
      </c>
      <c r="U491">
        <v>2010</v>
      </c>
      <c r="V491">
        <v>1593</v>
      </c>
    </row>
    <row r="492" spans="17:22">
      <c r="Q492">
        <v>3359</v>
      </c>
      <c r="R492">
        <v>5</v>
      </c>
      <c r="S492" t="s">
        <v>336</v>
      </c>
      <c r="T492" t="s">
        <v>314</v>
      </c>
      <c r="U492">
        <v>2011</v>
      </c>
      <c r="V492">
        <v>2563</v>
      </c>
    </row>
    <row r="493" spans="17:22">
      <c r="Q493">
        <v>3359</v>
      </c>
      <c r="R493">
        <v>5</v>
      </c>
      <c r="S493" t="s">
        <v>336</v>
      </c>
      <c r="T493" t="s">
        <v>314</v>
      </c>
      <c r="U493">
        <v>2012</v>
      </c>
      <c r="V493">
        <v>2761</v>
      </c>
    </row>
    <row r="494" spans="17:22">
      <c r="Q494">
        <v>3359</v>
      </c>
      <c r="R494">
        <v>5</v>
      </c>
      <c r="S494" t="s">
        <v>336</v>
      </c>
      <c r="T494" t="s">
        <v>314</v>
      </c>
      <c r="U494">
        <v>2013</v>
      </c>
      <c r="V494">
        <v>2631</v>
      </c>
    </row>
    <row r="495" spans="17:22">
      <c r="Q495">
        <v>3359</v>
      </c>
      <c r="R495">
        <v>5</v>
      </c>
      <c r="S495" t="s">
        <v>336</v>
      </c>
      <c r="T495" t="s">
        <v>314</v>
      </c>
      <c r="U495">
        <v>2014</v>
      </c>
      <c r="V495">
        <v>2592</v>
      </c>
    </row>
    <row r="496" spans="17:22">
      <c r="Q496">
        <v>3359</v>
      </c>
      <c r="R496">
        <v>5</v>
      </c>
      <c r="S496" t="s">
        <v>336</v>
      </c>
      <c r="T496" t="s">
        <v>314</v>
      </c>
      <c r="U496">
        <v>2015</v>
      </c>
      <c r="V496">
        <v>3126</v>
      </c>
    </row>
    <row r="497" spans="17:22">
      <c r="Q497">
        <v>3359</v>
      </c>
      <c r="R497">
        <v>5</v>
      </c>
      <c r="S497" t="s">
        <v>336</v>
      </c>
      <c r="T497" t="s">
        <v>314</v>
      </c>
      <c r="U497">
        <v>2016</v>
      </c>
      <c r="V497">
        <v>3280</v>
      </c>
    </row>
    <row r="498" spans="17:22">
      <c r="Q498">
        <v>3359</v>
      </c>
      <c r="R498">
        <v>5</v>
      </c>
      <c r="S498" t="s">
        <v>336</v>
      </c>
      <c r="T498" t="s">
        <v>314</v>
      </c>
      <c r="U498">
        <v>2017</v>
      </c>
      <c r="V498">
        <v>3550</v>
      </c>
    </row>
    <row r="499" spans="17:22">
      <c r="Q499">
        <v>3359</v>
      </c>
      <c r="R499">
        <v>5</v>
      </c>
      <c r="S499" t="s">
        <v>336</v>
      </c>
      <c r="T499" t="s">
        <v>314</v>
      </c>
      <c r="U499">
        <v>2018</v>
      </c>
      <c r="V499">
        <v>3847</v>
      </c>
    </row>
    <row r="500" spans="17:22">
      <c r="Q500">
        <v>3359</v>
      </c>
      <c r="R500">
        <v>5</v>
      </c>
      <c r="S500" t="s">
        <v>336</v>
      </c>
      <c r="T500" t="s">
        <v>314</v>
      </c>
      <c r="U500">
        <v>2019</v>
      </c>
      <c r="V500">
        <v>4347</v>
      </c>
    </row>
    <row r="501" spans="17:22">
      <c r="Q501">
        <v>3359</v>
      </c>
      <c r="R501">
        <v>5</v>
      </c>
      <c r="S501" t="s">
        <v>336</v>
      </c>
      <c r="T501" t="s">
        <v>314</v>
      </c>
      <c r="U501">
        <v>2020</v>
      </c>
      <c r="V501">
        <v>4356</v>
      </c>
    </row>
    <row r="502" spans="17:22">
      <c r="Q502">
        <v>3359</v>
      </c>
      <c r="R502">
        <v>5</v>
      </c>
      <c r="S502" t="s">
        <v>336</v>
      </c>
      <c r="T502" t="s">
        <v>314</v>
      </c>
      <c r="U502">
        <v>2021</v>
      </c>
      <c r="V502">
        <v>4088</v>
      </c>
    </row>
    <row r="503" spans="17:22">
      <c r="Q503">
        <v>3359</v>
      </c>
      <c r="R503">
        <v>5</v>
      </c>
      <c r="S503" t="s">
        <v>336</v>
      </c>
      <c r="T503" t="s">
        <v>314</v>
      </c>
      <c r="U503">
        <v>2022</v>
      </c>
      <c r="V503">
        <v>4601</v>
      </c>
    </row>
    <row r="504" spans="17:22">
      <c r="Q504">
        <v>3359</v>
      </c>
      <c r="R504">
        <v>5</v>
      </c>
      <c r="S504" t="s">
        <v>336</v>
      </c>
      <c r="T504" t="s">
        <v>314</v>
      </c>
      <c r="U504">
        <v>2023</v>
      </c>
      <c r="V504">
        <v>4960</v>
      </c>
    </row>
    <row r="505" spans="17:22">
      <c r="Q505">
        <v>3359</v>
      </c>
      <c r="R505">
        <v>5</v>
      </c>
      <c r="S505" t="s">
        <v>336</v>
      </c>
      <c r="T505" t="s">
        <v>314</v>
      </c>
      <c r="U505">
        <v>2024</v>
      </c>
      <c r="V505">
        <v>4446</v>
      </c>
    </row>
    <row r="506" spans="17:22">
      <c r="Q506">
        <v>5413</v>
      </c>
      <c r="R506">
        <v>6</v>
      </c>
      <c r="S506" t="s">
        <v>360</v>
      </c>
      <c r="T506" t="s">
        <v>343</v>
      </c>
      <c r="U506">
        <v>2001</v>
      </c>
      <c r="V506">
        <v>83373</v>
      </c>
    </row>
    <row r="507" spans="17:22">
      <c r="Q507">
        <v>5413</v>
      </c>
      <c r="R507">
        <v>6</v>
      </c>
      <c r="S507" t="s">
        <v>360</v>
      </c>
      <c r="T507" t="s">
        <v>343</v>
      </c>
      <c r="U507">
        <v>2002</v>
      </c>
      <c r="V507">
        <v>76342</v>
      </c>
    </row>
    <row r="508" spans="17:22">
      <c r="Q508">
        <v>5413</v>
      </c>
      <c r="R508">
        <v>6</v>
      </c>
      <c r="S508" t="s">
        <v>360</v>
      </c>
      <c r="T508" t="s">
        <v>343</v>
      </c>
      <c r="U508">
        <v>2003</v>
      </c>
      <c r="V508">
        <v>72059</v>
      </c>
    </row>
    <row r="509" spans="17:22">
      <c r="Q509">
        <v>5413</v>
      </c>
      <c r="R509">
        <v>6</v>
      </c>
      <c r="S509" t="s">
        <v>360</v>
      </c>
      <c r="T509" t="s">
        <v>343</v>
      </c>
      <c r="U509">
        <v>2004</v>
      </c>
      <c r="V509">
        <v>70855</v>
      </c>
    </row>
    <row r="510" spans="17:22">
      <c r="Q510">
        <v>5413</v>
      </c>
      <c r="R510">
        <v>6</v>
      </c>
      <c r="S510" t="s">
        <v>360</v>
      </c>
      <c r="T510" t="s">
        <v>343</v>
      </c>
      <c r="U510">
        <v>2005</v>
      </c>
      <c r="V510">
        <v>69943</v>
      </c>
    </row>
    <row r="511" spans="17:22">
      <c r="Q511">
        <v>5413</v>
      </c>
      <c r="R511">
        <v>6</v>
      </c>
      <c r="S511" t="s">
        <v>360</v>
      </c>
      <c r="T511" t="s">
        <v>343</v>
      </c>
      <c r="U511">
        <v>2006</v>
      </c>
      <c r="V511">
        <v>67009</v>
      </c>
    </row>
    <row r="512" spans="17:22">
      <c r="Q512">
        <v>5413</v>
      </c>
      <c r="R512">
        <v>6</v>
      </c>
      <c r="S512" t="s">
        <v>360</v>
      </c>
      <c r="T512" t="s">
        <v>343</v>
      </c>
      <c r="U512">
        <v>2007</v>
      </c>
      <c r="V512">
        <v>66272</v>
      </c>
    </row>
    <row r="513" spans="17:22">
      <c r="Q513">
        <v>5413</v>
      </c>
      <c r="R513">
        <v>6</v>
      </c>
      <c r="S513" t="s">
        <v>360</v>
      </c>
      <c r="T513" t="s">
        <v>343</v>
      </c>
      <c r="U513">
        <v>2008</v>
      </c>
      <c r="V513">
        <v>63802</v>
      </c>
    </row>
    <row r="514" spans="17:22">
      <c r="Q514">
        <v>5413</v>
      </c>
      <c r="R514">
        <v>6</v>
      </c>
      <c r="S514" t="s">
        <v>360</v>
      </c>
      <c r="T514" t="s">
        <v>343</v>
      </c>
      <c r="U514">
        <v>2009</v>
      </c>
      <c r="V514">
        <v>55412</v>
      </c>
    </row>
    <row r="515" spans="17:22">
      <c r="Q515">
        <v>5413</v>
      </c>
      <c r="R515">
        <v>6</v>
      </c>
      <c r="S515" t="s">
        <v>360</v>
      </c>
      <c r="T515" t="s">
        <v>343</v>
      </c>
      <c r="U515">
        <v>2010</v>
      </c>
      <c r="V515">
        <v>57576</v>
      </c>
    </row>
    <row r="516" spans="17:22">
      <c r="Q516">
        <v>5413</v>
      </c>
      <c r="R516">
        <v>6</v>
      </c>
      <c r="S516" t="s">
        <v>360</v>
      </c>
      <c r="T516" t="s">
        <v>343</v>
      </c>
      <c r="U516">
        <v>2011</v>
      </c>
      <c r="V516">
        <v>62819</v>
      </c>
    </row>
    <row r="517" spans="17:22">
      <c r="Q517">
        <v>5413</v>
      </c>
      <c r="R517">
        <v>6</v>
      </c>
      <c r="S517" t="s">
        <v>360</v>
      </c>
      <c r="T517" t="s">
        <v>343</v>
      </c>
      <c r="U517">
        <v>2012</v>
      </c>
      <c r="V517">
        <v>68257</v>
      </c>
    </row>
    <row r="518" spans="17:22">
      <c r="Q518">
        <v>5413</v>
      </c>
      <c r="R518">
        <v>6</v>
      </c>
      <c r="S518" t="s">
        <v>360</v>
      </c>
      <c r="T518" t="s">
        <v>343</v>
      </c>
      <c r="U518">
        <v>2013</v>
      </c>
      <c r="V518">
        <v>72045</v>
      </c>
    </row>
    <row r="519" spans="17:22">
      <c r="Q519">
        <v>5413</v>
      </c>
      <c r="R519">
        <v>6</v>
      </c>
      <c r="S519" t="s">
        <v>360</v>
      </c>
      <c r="T519" t="s">
        <v>343</v>
      </c>
      <c r="U519">
        <v>2014</v>
      </c>
      <c r="V519">
        <v>76039</v>
      </c>
    </row>
    <row r="520" spans="17:22">
      <c r="Q520">
        <v>5413</v>
      </c>
      <c r="R520">
        <v>6</v>
      </c>
      <c r="S520" t="s">
        <v>360</v>
      </c>
      <c r="T520" t="s">
        <v>343</v>
      </c>
      <c r="U520">
        <v>2015</v>
      </c>
      <c r="V520">
        <v>85007</v>
      </c>
    </row>
    <row r="521" spans="17:22">
      <c r="Q521">
        <v>5413</v>
      </c>
      <c r="R521">
        <v>6</v>
      </c>
      <c r="S521" t="s">
        <v>360</v>
      </c>
      <c r="T521" t="s">
        <v>343</v>
      </c>
      <c r="U521">
        <v>2016</v>
      </c>
      <c r="V521">
        <v>88247</v>
      </c>
    </row>
    <row r="522" spans="17:22">
      <c r="Q522">
        <v>5413</v>
      </c>
      <c r="R522">
        <v>6</v>
      </c>
      <c r="S522" t="s">
        <v>360</v>
      </c>
      <c r="T522" t="s">
        <v>343</v>
      </c>
      <c r="U522">
        <v>2017</v>
      </c>
      <c r="V522">
        <v>83516</v>
      </c>
    </row>
    <row r="523" spans="17:22">
      <c r="Q523">
        <v>5413</v>
      </c>
      <c r="R523">
        <v>6</v>
      </c>
      <c r="S523" t="s">
        <v>360</v>
      </c>
      <c r="T523" t="s">
        <v>343</v>
      </c>
      <c r="U523">
        <v>2018</v>
      </c>
      <c r="V523">
        <v>86547</v>
      </c>
    </row>
    <row r="524" spans="17:22">
      <c r="Q524">
        <v>5413</v>
      </c>
      <c r="R524">
        <v>6</v>
      </c>
      <c r="S524" t="s">
        <v>360</v>
      </c>
      <c r="T524" t="s">
        <v>343</v>
      </c>
      <c r="U524">
        <v>2019</v>
      </c>
      <c r="V524">
        <v>88076</v>
      </c>
    </row>
    <row r="525" spans="17:22">
      <c r="Q525">
        <v>5413</v>
      </c>
      <c r="R525">
        <v>6</v>
      </c>
      <c r="S525" t="s">
        <v>360</v>
      </c>
      <c r="T525" t="s">
        <v>343</v>
      </c>
      <c r="U525">
        <v>2020</v>
      </c>
      <c r="V525">
        <v>84620</v>
      </c>
    </row>
    <row r="526" spans="17:22">
      <c r="Q526">
        <v>5413</v>
      </c>
      <c r="R526">
        <v>6</v>
      </c>
      <c r="S526" t="s">
        <v>360</v>
      </c>
      <c r="T526" t="s">
        <v>343</v>
      </c>
      <c r="U526">
        <v>2021</v>
      </c>
      <c r="V526">
        <v>87418</v>
      </c>
    </row>
    <row r="527" spans="17:22">
      <c r="Q527">
        <v>5413</v>
      </c>
      <c r="R527">
        <v>6</v>
      </c>
      <c r="S527" t="s">
        <v>360</v>
      </c>
      <c r="T527" t="s">
        <v>343</v>
      </c>
      <c r="U527">
        <v>2022</v>
      </c>
      <c r="V527">
        <v>88549</v>
      </c>
    </row>
    <row r="528" spans="17:22">
      <c r="Q528">
        <v>5413</v>
      </c>
      <c r="R528">
        <v>6</v>
      </c>
      <c r="S528" t="s">
        <v>360</v>
      </c>
      <c r="T528" t="s">
        <v>343</v>
      </c>
      <c r="U528">
        <v>2023</v>
      </c>
      <c r="V528">
        <v>88654</v>
      </c>
    </row>
    <row r="529" spans="17:22">
      <c r="Q529">
        <v>5413</v>
      </c>
      <c r="R529">
        <v>6</v>
      </c>
      <c r="S529" t="s">
        <v>360</v>
      </c>
      <c r="T529" t="s">
        <v>343</v>
      </c>
      <c r="U529">
        <v>2024</v>
      </c>
      <c r="V529">
        <v>84452</v>
      </c>
    </row>
    <row r="530" spans="17:22">
      <c r="Q530">
        <v>5414</v>
      </c>
      <c r="R530">
        <v>6</v>
      </c>
      <c r="S530" t="s">
        <v>360</v>
      </c>
      <c r="T530" t="s">
        <v>343</v>
      </c>
      <c r="U530">
        <v>2001</v>
      </c>
      <c r="V530">
        <v>3402</v>
      </c>
    </row>
    <row r="531" spans="17:22">
      <c r="Q531">
        <v>5414</v>
      </c>
      <c r="R531">
        <v>6</v>
      </c>
      <c r="S531" t="s">
        <v>360</v>
      </c>
      <c r="T531" t="s">
        <v>343</v>
      </c>
      <c r="U531">
        <v>2002</v>
      </c>
      <c r="V531">
        <v>3538</v>
      </c>
    </row>
    <row r="532" spans="17:22">
      <c r="Q532">
        <v>5414</v>
      </c>
      <c r="R532">
        <v>6</v>
      </c>
      <c r="S532" t="s">
        <v>360</v>
      </c>
      <c r="T532" t="s">
        <v>343</v>
      </c>
      <c r="U532">
        <v>2003</v>
      </c>
      <c r="V532">
        <v>3619</v>
      </c>
    </row>
    <row r="533" spans="17:22">
      <c r="Q533">
        <v>5414</v>
      </c>
      <c r="R533">
        <v>6</v>
      </c>
      <c r="S533" t="s">
        <v>360</v>
      </c>
      <c r="T533" t="s">
        <v>343</v>
      </c>
      <c r="U533">
        <v>2004</v>
      </c>
      <c r="V533">
        <v>3751</v>
      </c>
    </row>
    <row r="534" spans="17:22">
      <c r="Q534">
        <v>5414</v>
      </c>
      <c r="R534">
        <v>6</v>
      </c>
      <c r="S534" t="s">
        <v>360</v>
      </c>
      <c r="T534" t="s">
        <v>343</v>
      </c>
      <c r="U534">
        <v>2005</v>
      </c>
      <c r="V534">
        <v>4365</v>
      </c>
    </row>
    <row r="535" spans="17:22">
      <c r="Q535">
        <v>5414</v>
      </c>
      <c r="R535">
        <v>6</v>
      </c>
      <c r="S535" t="s">
        <v>360</v>
      </c>
      <c r="T535" t="s">
        <v>343</v>
      </c>
      <c r="U535">
        <v>2006</v>
      </c>
      <c r="V535">
        <v>4543</v>
      </c>
    </row>
    <row r="536" spans="17:22">
      <c r="Q536">
        <v>5414</v>
      </c>
      <c r="R536">
        <v>6</v>
      </c>
      <c r="S536" t="s">
        <v>360</v>
      </c>
      <c r="T536" t="s">
        <v>343</v>
      </c>
      <c r="U536">
        <v>2007</v>
      </c>
      <c r="V536">
        <v>4723</v>
      </c>
    </row>
    <row r="537" spans="17:22">
      <c r="Q537">
        <v>5414</v>
      </c>
      <c r="R537">
        <v>6</v>
      </c>
      <c r="S537" t="s">
        <v>360</v>
      </c>
      <c r="T537" t="s">
        <v>343</v>
      </c>
      <c r="U537">
        <v>2008</v>
      </c>
      <c r="V537">
        <v>4627</v>
      </c>
    </row>
    <row r="538" spans="17:22">
      <c r="Q538">
        <v>5414</v>
      </c>
      <c r="R538">
        <v>6</v>
      </c>
      <c r="S538" t="s">
        <v>360</v>
      </c>
      <c r="T538" t="s">
        <v>343</v>
      </c>
      <c r="U538">
        <v>2009</v>
      </c>
      <c r="V538">
        <v>4079</v>
      </c>
    </row>
    <row r="539" spans="17:22">
      <c r="Q539">
        <v>5414</v>
      </c>
      <c r="R539">
        <v>6</v>
      </c>
      <c r="S539" t="s">
        <v>360</v>
      </c>
      <c r="T539" t="s">
        <v>343</v>
      </c>
      <c r="U539">
        <v>2010</v>
      </c>
      <c r="V539">
        <v>4190</v>
      </c>
    </row>
    <row r="540" spans="17:22">
      <c r="Q540">
        <v>5414</v>
      </c>
      <c r="R540">
        <v>6</v>
      </c>
      <c r="S540" t="s">
        <v>360</v>
      </c>
      <c r="T540" t="s">
        <v>343</v>
      </c>
      <c r="U540">
        <v>2011</v>
      </c>
      <c r="V540">
        <v>4660</v>
      </c>
    </row>
    <row r="541" spans="17:22">
      <c r="Q541">
        <v>5414</v>
      </c>
      <c r="R541">
        <v>6</v>
      </c>
      <c r="S541" t="s">
        <v>360</v>
      </c>
      <c r="T541" t="s">
        <v>343</v>
      </c>
      <c r="U541">
        <v>2012</v>
      </c>
      <c r="V541">
        <v>4883</v>
      </c>
    </row>
    <row r="542" spans="17:22">
      <c r="Q542">
        <v>5414</v>
      </c>
      <c r="R542">
        <v>6</v>
      </c>
      <c r="S542" t="s">
        <v>360</v>
      </c>
      <c r="T542" t="s">
        <v>343</v>
      </c>
      <c r="U542">
        <v>2013</v>
      </c>
      <c r="V542">
        <v>5310</v>
      </c>
    </row>
    <row r="543" spans="17:22">
      <c r="Q543">
        <v>5414</v>
      </c>
      <c r="R543">
        <v>6</v>
      </c>
      <c r="S543" t="s">
        <v>360</v>
      </c>
      <c r="T543" t="s">
        <v>343</v>
      </c>
      <c r="U543">
        <v>2014</v>
      </c>
      <c r="V543">
        <v>4960</v>
      </c>
    </row>
    <row r="544" spans="17:22">
      <c r="Q544">
        <v>5414</v>
      </c>
      <c r="R544">
        <v>6</v>
      </c>
      <c r="S544" t="s">
        <v>360</v>
      </c>
      <c r="T544" t="s">
        <v>343</v>
      </c>
      <c r="U544">
        <v>2015</v>
      </c>
      <c r="V544">
        <v>7593</v>
      </c>
    </row>
    <row r="545" spans="17:22">
      <c r="Q545">
        <v>5414</v>
      </c>
      <c r="R545">
        <v>6</v>
      </c>
      <c r="S545" t="s">
        <v>360</v>
      </c>
      <c r="T545" t="s">
        <v>343</v>
      </c>
      <c r="U545">
        <v>2016</v>
      </c>
      <c r="V545">
        <v>7913</v>
      </c>
    </row>
    <row r="546" spans="17:22">
      <c r="Q546">
        <v>5414</v>
      </c>
      <c r="R546">
        <v>6</v>
      </c>
      <c r="S546" t="s">
        <v>360</v>
      </c>
      <c r="T546" t="s">
        <v>343</v>
      </c>
      <c r="U546">
        <v>2017</v>
      </c>
      <c r="V546">
        <v>8464</v>
      </c>
    </row>
    <row r="547" spans="17:22">
      <c r="Q547">
        <v>5414</v>
      </c>
      <c r="R547">
        <v>6</v>
      </c>
      <c r="S547" t="s">
        <v>360</v>
      </c>
      <c r="T547" t="s">
        <v>343</v>
      </c>
      <c r="U547">
        <v>2018</v>
      </c>
      <c r="V547">
        <v>8632</v>
      </c>
    </row>
    <row r="548" spans="17:22">
      <c r="Q548">
        <v>5414</v>
      </c>
      <c r="R548">
        <v>6</v>
      </c>
      <c r="S548" t="s">
        <v>360</v>
      </c>
      <c r="T548" t="s">
        <v>343</v>
      </c>
      <c r="U548">
        <v>2019</v>
      </c>
      <c r="V548">
        <v>8155</v>
      </c>
    </row>
    <row r="549" spans="17:22">
      <c r="Q549">
        <v>5414</v>
      </c>
      <c r="R549">
        <v>6</v>
      </c>
      <c r="S549" t="s">
        <v>360</v>
      </c>
      <c r="T549" t="s">
        <v>343</v>
      </c>
      <c r="U549">
        <v>2020</v>
      </c>
      <c r="V549">
        <v>8111</v>
      </c>
    </row>
    <row r="550" spans="17:22">
      <c r="Q550">
        <v>5414</v>
      </c>
      <c r="R550">
        <v>6</v>
      </c>
      <c r="S550" t="s">
        <v>360</v>
      </c>
      <c r="T550" t="s">
        <v>343</v>
      </c>
      <c r="U550">
        <v>2021</v>
      </c>
      <c r="V550">
        <v>8433</v>
      </c>
    </row>
    <row r="551" spans="17:22">
      <c r="Q551">
        <v>5414</v>
      </c>
      <c r="R551">
        <v>6</v>
      </c>
      <c r="S551" t="s">
        <v>360</v>
      </c>
      <c r="T551" t="s">
        <v>343</v>
      </c>
      <c r="U551">
        <v>2022</v>
      </c>
      <c r="V551">
        <v>8723</v>
      </c>
    </row>
    <row r="552" spans="17:22">
      <c r="Q552">
        <v>5414</v>
      </c>
      <c r="R552">
        <v>6</v>
      </c>
      <c r="S552" t="s">
        <v>360</v>
      </c>
      <c r="T552" t="s">
        <v>343</v>
      </c>
      <c r="U552">
        <v>2023</v>
      </c>
      <c r="V552">
        <v>9163</v>
      </c>
    </row>
    <row r="553" spans="17:22">
      <c r="Q553">
        <v>5414</v>
      </c>
      <c r="R553">
        <v>6</v>
      </c>
      <c r="S553" t="s">
        <v>360</v>
      </c>
      <c r="T553" t="s">
        <v>343</v>
      </c>
      <c r="U553">
        <v>2024</v>
      </c>
      <c r="V553">
        <v>10458</v>
      </c>
    </row>
    <row r="554" spans="17:22">
      <c r="Q554">
        <v>5417</v>
      </c>
      <c r="R554">
        <v>6</v>
      </c>
      <c r="S554" t="s">
        <v>360</v>
      </c>
      <c r="T554" t="s">
        <v>343</v>
      </c>
      <c r="U554">
        <v>2001</v>
      </c>
      <c r="V554">
        <v>15682</v>
      </c>
    </row>
    <row r="555" spans="17:22">
      <c r="Q555">
        <v>5417</v>
      </c>
      <c r="R555">
        <v>6</v>
      </c>
      <c r="S555" t="s">
        <v>360</v>
      </c>
      <c r="T555" t="s">
        <v>343</v>
      </c>
      <c r="U555">
        <v>2002</v>
      </c>
      <c r="V555">
        <v>22370</v>
      </c>
    </row>
    <row r="556" spans="17:22">
      <c r="Q556">
        <v>5417</v>
      </c>
      <c r="R556">
        <v>6</v>
      </c>
      <c r="S556" t="s">
        <v>360</v>
      </c>
      <c r="T556" t="s">
        <v>343</v>
      </c>
      <c r="U556">
        <v>2003</v>
      </c>
      <c r="V556">
        <v>24291</v>
      </c>
    </row>
    <row r="557" spans="17:22">
      <c r="Q557">
        <v>5417</v>
      </c>
      <c r="R557">
        <v>6</v>
      </c>
      <c r="S557" t="s">
        <v>360</v>
      </c>
      <c r="T557" t="s">
        <v>343</v>
      </c>
      <c r="U557">
        <v>2004</v>
      </c>
      <c r="V557">
        <v>23731</v>
      </c>
    </row>
    <row r="558" spans="17:22">
      <c r="Q558">
        <v>5417</v>
      </c>
      <c r="R558">
        <v>6</v>
      </c>
      <c r="S558" t="s">
        <v>360</v>
      </c>
      <c r="T558" t="s">
        <v>343</v>
      </c>
      <c r="U558">
        <v>2005</v>
      </c>
      <c r="V558">
        <v>23649</v>
      </c>
    </row>
    <row r="559" spans="17:22">
      <c r="Q559">
        <v>5417</v>
      </c>
      <c r="R559">
        <v>6</v>
      </c>
      <c r="S559" t="s">
        <v>360</v>
      </c>
      <c r="T559" t="s">
        <v>343</v>
      </c>
      <c r="U559">
        <v>2006</v>
      </c>
      <c r="V559">
        <v>23958</v>
      </c>
    </row>
    <row r="560" spans="17:22">
      <c r="Q560">
        <v>5417</v>
      </c>
      <c r="R560">
        <v>6</v>
      </c>
      <c r="S560" t="s">
        <v>360</v>
      </c>
      <c r="T560" t="s">
        <v>343</v>
      </c>
      <c r="U560">
        <v>2007</v>
      </c>
      <c r="V560">
        <v>22225</v>
      </c>
    </row>
    <row r="561" spans="17:22">
      <c r="Q561">
        <v>5417</v>
      </c>
      <c r="R561">
        <v>6</v>
      </c>
      <c r="S561" t="s">
        <v>360</v>
      </c>
      <c r="T561" t="s">
        <v>343</v>
      </c>
      <c r="U561">
        <v>2008</v>
      </c>
      <c r="V561">
        <v>20444</v>
      </c>
    </row>
    <row r="562" spans="17:22">
      <c r="Q562">
        <v>5417</v>
      </c>
      <c r="R562">
        <v>6</v>
      </c>
      <c r="S562" t="s">
        <v>360</v>
      </c>
      <c r="T562" t="s">
        <v>343</v>
      </c>
      <c r="U562">
        <v>2009</v>
      </c>
      <c r="V562">
        <v>18284</v>
      </c>
    </row>
    <row r="563" spans="17:22">
      <c r="Q563">
        <v>5417</v>
      </c>
      <c r="R563">
        <v>6</v>
      </c>
      <c r="S563" t="s">
        <v>360</v>
      </c>
      <c r="T563" t="s">
        <v>343</v>
      </c>
      <c r="U563">
        <v>2010</v>
      </c>
      <c r="V563">
        <v>18914</v>
      </c>
    </row>
    <row r="564" spans="17:22">
      <c r="Q564">
        <v>5417</v>
      </c>
      <c r="R564">
        <v>6</v>
      </c>
      <c r="S564" t="s">
        <v>360</v>
      </c>
      <c r="T564" t="s">
        <v>343</v>
      </c>
      <c r="U564">
        <v>2011</v>
      </c>
      <c r="V564">
        <v>19119</v>
      </c>
    </row>
    <row r="565" spans="17:22">
      <c r="Q565">
        <v>5417</v>
      </c>
      <c r="R565">
        <v>6</v>
      </c>
      <c r="S565" t="s">
        <v>360</v>
      </c>
      <c r="T565" t="s">
        <v>343</v>
      </c>
      <c r="U565">
        <v>2012</v>
      </c>
      <c r="V565">
        <v>20239</v>
      </c>
    </row>
    <row r="566" spans="17:22">
      <c r="Q566">
        <v>5417</v>
      </c>
      <c r="R566">
        <v>6</v>
      </c>
      <c r="S566" t="s">
        <v>360</v>
      </c>
      <c r="T566" t="s">
        <v>343</v>
      </c>
      <c r="U566">
        <v>2013</v>
      </c>
      <c r="V566">
        <v>21471</v>
      </c>
    </row>
    <row r="567" spans="17:22">
      <c r="Q567">
        <v>5417</v>
      </c>
      <c r="R567">
        <v>6</v>
      </c>
      <c r="S567" t="s">
        <v>360</v>
      </c>
      <c r="T567" t="s">
        <v>343</v>
      </c>
      <c r="U567">
        <v>2014</v>
      </c>
      <c r="V567">
        <v>21925</v>
      </c>
    </row>
    <row r="568" spans="17:22">
      <c r="Q568">
        <v>5417</v>
      </c>
      <c r="R568">
        <v>6</v>
      </c>
      <c r="S568" t="s">
        <v>360</v>
      </c>
      <c r="T568" t="s">
        <v>343</v>
      </c>
      <c r="U568">
        <v>2015</v>
      </c>
      <c r="V568">
        <v>24955</v>
      </c>
    </row>
    <row r="569" spans="17:22">
      <c r="Q569">
        <v>5417</v>
      </c>
      <c r="R569">
        <v>6</v>
      </c>
      <c r="S569" t="s">
        <v>360</v>
      </c>
      <c r="T569" t="s">
        <v>343</v>
      </c>
      <c r="U569">
        <v>2016</v>
      </c>
      <c r="V569">
        <v>25682</v>
      </c>
    </row>
    <row r="570" spans="17:22">
      <c r="Q570">
        <v>5417</v>
      </c>
      <c r="R570">
        <v>6</v>
      </c>
      <c r="S570" t="s">
        <v>360</v>
      </c>
      <c r="T570" t="s">
        <v>343</v>
      </c>
      <c r="U570">
        <v>2017</v>
      </c>
      <c r="V570">
        <v>21741</v>
      </c>
    </row>
    <row r="571" spans="17:22">
      <c r="Q571">
        <v>5417</v>
      </c>
      <c r="R571">
        <v>6</v>
      </c>
      <c r="S571" t="s">
        <v>360</v>
      </c>
      <c r="T571" t="s">
        <v>343</v>
      </c>
      <c r="U571">
        <v>2018</v>
      </c>
      <c r="V571">
        <v>21519</v>
      </c>
    </row>
    <row r="572" spans="17:22">
      <c r="Q572">
        <v>5417</v>
      </c>
      <c r="R572">
        <v>6</v>
      </c>
      <c r="S572" t="s">
        <v>360</v>
      </c>
      <c r="T572" t="s">
        <v>343</v>
      </c>
      <c r="U572">
        <v>2019</v>
      </c>
      <c r="V572">
        <v>22112</v>
      </c>
    </row>
    <row r="573" spans="17:22">
      <c r="Q573">
        <v>5417</v>
      </c>
      <c r="R573">
        <v>6</v>
      </c>
      <c r="S573" t="s">
        <v>360</v>
      </c>
      <c r="T573" t="s">
        <v>343</v>
      </c>
      <c r="U573">
        <v>2020</v>
      </c>
      <c r="V573">
        <v>22672</v>
      </c>
    </row>
    <row r="574" spans="17:22">
      <c r="Q574">
        <v>5417</v>
      </c>
      <c r="R574">
        <v>6</v>
      </c>
      <c r="S574" t="s">
        <v>360</v>
      </c>
      <c r="T574" t="s">
        <v>343</v>
      </c>
      <c r="U574">
        <v>2021</v>
      </c>
      <c r="V574">
        <v>23632</v>
      </c>
    </row>
    <row r="575" spans="17:22">
      <c r="Q575">
        <v>5417</v>
      </c>
      <c r="R575">
        <v>6</v>
      </c>
      <c r="S575" t="s">
        <v>360</v>
      </c>
      <c r="T575" t="s">
        <v>343</v>
      </c>
      <c r="U575">
        <v>2022</v>
      </c>
      <c r="V575">
        <v>25132</v>
      </c>
    </row>
    <row r="576" spans="17:22">
      <c r="Q576">
        <v>5417</v>
      </c>
      <c r="R576">
        <v>6</v>
      </c>
      <c r="S576" t="s">
        <v>360</v>
      </c>
      <c r="T576" t="s">
        <v>343</v>
      </c>
      <c r="U576">
        <v>2023</v>
      </c>
      <c r="V576">
        <v>25294</v>
      </c>
    </row>
    <row r="577" spans="17:22">
      <c r="Q577">
        <v>5417</v>
      </c>
      <c r="R577">
        <v>6</v>
      </c>
      <c r="S577" t="s">
        <v>360</v>
      </c>
      <c r="T577" t="s">
        <v>343</v>
      </c>
      <c r="U577">
        <v>2024</v>
      </c>
      <c r="V577">
        <v>25297</v>
      </c>
    </row>
    <row r="578" spans="17:22">
      <c r="Q578">
        <v>3361</v>
      </c>
      <c r="R578">
        <v>7</v>
      </c>
      <c r="S578" t="s">
        <v>342</v>
      </c>
      <c r="T578" t="s">
        <v>343</v>
      </c>
      <c r="U578">
        <v>2001</v>
      </c>
      <c r="V578">
        <v>90361</v>
      </c>
    </row>
    <row r="579" spans="17:22">
      <c r="Q579">
        <v>3361</v>
      </c>
      <c r="R579">
        <v>7</v>
      </c>
      <c r="S579" t="s">
        <v>342</v>
      </c>
      <c r="T579" t="s">
        <v>343</v>
      </c>
      <c r="U579">
        <v>2002</v>
      </c>
      <c r="V579">
        <v>81572</v>
      </c>
    </row>
    <row r="580" spans="17:22">
      <c r="Q580">
        <v>3361</v>
      </c>
      <c r="R580">
        <v>7</v>
      </c>
      <c r="S580" t="s">
        <v>342</v>
      </c>
      <c r="T580" t="s">
        <v>343</v>
      </c>
      <c r="U580">
        <v>2003</v>
      </c>
      <c r="V580">
        <v>75378</v>
      </c>
    </row>
    <row r="581" spans="17:22">
      <c r="Q581">
        <v>3361</v>
      </c>
      <c r="R581">
        <v>7</v>
      </c>
      <c r="S581" t="s">
        <v>342</v>
      </c>
      <c r="T581" t="s">
        <v>343</v>
      </c>
      <c r="U581">
        <v>2004</v>
      </c>
      <c r="V581">
        <v>70844</v>
      </c>
    </row>
    <row r="582" spans="17:22">
      <c r="Q582">
        <v>3361</v>
      </c>
      <c r="R582">
        <v>7</v>
      </c>
      <c r="S582" t="s">
        <v>342</v>
      </c>
      <c r="T582" t="s">
        <v>343</v>
      </c>
      <c r="U582">
        <v>2005</v>
      </c>
      <c r="V582">
        <v>65509</v>
      </c>
    </row>
    <row r="583" spans="17:22">
      <c r="Q583">
        <v>3361</v>
      </c>
      <c r="R583">
        <v>7</v>
      </c>
      <c r="S583" t="s">
        <v>342</v>
      </c>
      <c r="T583" t="s">
        <v>343</v>
      </c>
      <c r="U583">
        <v>2006</v>
      </c>
      <c r="V583">
        <v>59006</v>
      </c>
    </row>
    <row r="584" spans="17:22">
      <c r="Q584">
        <v>3361</v>
      </c>
      <c r="R584">
        <v>7</v>
      </c>
      <c r="S584" t="s">
        <v>342</v>
      </c>
      <c r="T584" t="s">
        <v>343</v>
      </c>
      <c r="U584">
        <v>2007</v>
      </c>
      <c r="V584">
        <v>58574</v>
      </c>
    </row>
    <row r="585" spans="17:22">
      <c r="Q585">
        <v>3361</v>
      </c>
      <c r="R585">
        <v>7</v>
      </c>
      <c r="S585" t="s">
        <v>342</v>
      </c>
      <c r="T585" t="s">
        <v>343</v>
      </c>
      <c r="U585">
        <v>2008</v>
      </c>
      <c r="V585">
        <v>48823</v>
      </c>
    </row>
    <row r="586" spans="17:22">
      <c r="Q586">
        <v>3361</v>
      </c>
      <c r="R586">
        <v>7</v>
      </c>
      <c r="S586" t="s">
        <v>342</v>
      </c>
      <c r="T586" t="s">
        <v>343</v>
      </c>
      <c r="U586">
        <v>2009</v>
      </c>
      <c r="V586">
        <v>35196</v>
      </c>
    </row>
    <row r="587" spans="17:22">
      <c r="Q587">
        <v>3361</v>
      </c>
      <c r="R587">
        <v>7</v>
      </c>
      <c r="S587" t="s">
        <v>342</v>
      </c>
      <c r="T587" t="s">
        <v>343</v>
      </c>
      <c r="U587">
        <v>2010</v>
      </c>
      <c r="V587">
        <v>35239</v>
      </c>
    </row>
    <row r="588" spans="17:22">
      <c r="Q588">
        <v>3361</v>
      </c>
      <c r="R588">
        <v>7</v>
      </c>
      <c r="S588" t="s">
        <v>342</v>
      </c>
      <c r="T588" t="s">
        <v>343</v>
      </c>
      <c r="U588">
        <v>2011</v>
      </c>
      <c r="V588">
        <v>37578</v>
      </c>
    </row>
    <row r="589" spans="17:22">
      <c r="Q589">
        <v>3361</v>
      </c>
      <c r="R589">
        <v>7</v>
      </c>
      <c r="S589" t="s">
        <v>342</v>
      </c>
      <c r="T589" t="s">
        <v>343</v>
      </c>
      <c r="U589">
        <v>2012</v>
      </c>
      <c r="V589">
        <v>39789</v>
      </c>
    </row>
    <row r="590" spans="17:22">
      <c r="Q590">
        <v>3361</v>
      </c>
      <c r="R590">
        <v>7</v>
      </c>
      <c r="S590" t="s">
        <v>342</v>
      </c>
      <c r="T590" t="s">
        <v>343</v>
      </c>
      <c r="U590">
        <v>2013</v>
      </c>
      <c r="V590">
        <v>44163</v>
      </c>
    </row>
    <row r="591" spans="17:22">
      <c r="Q591">
        <v>3361</v>
      </c>
      <c r="R591">
        <v>7</v>
      </c>
      <c r="S591" t="s">
        <v>342</v>
      </c>
      <c r="T591" t="s">
        <v>343</v>
      </c>
      <c r="U591">
        <v>2014</v>
      </c>
      <c r="V591">
        <v>45929</v>
      </c>
    </row>
    <row r="592" spans="17:22">
      <c r="Q592">
        <v>3361</v>
      </c>
      <c r="R592">
        <v>7</v>
      </c>
      <c r="S592" t="s">
        <v>342</v>
      </c>
      <c r="T592" t="s">
        <v>343</v>
      </c>
      <c r="U592">
        <v>2015</v>
      </c>
      <c r="V592">
        <v>36677</v>
      </c>
    </row>
    <row r="593" spans="17:22">
      <c r="Q593">
        <v>3361</v>
      </c>
      <c r="R593">
        <v>7</v>
      </c>
      <c r="S593" t="s">
        <v>342</v>
      </c>
      <c r="T593" t="s">
        <v>343</v>
      </c>
      <c r="U593">
        <v>2016</v>
      </c>
      <c r="V593">
        <v>37501</v>
      </c>
    </row>
    <row r="594" spans="17:22">
      <c r="Q594">
        <v>3361</v>
      </c>
      <c r="R594">
        <v>7</v>
      </c>
      <c r="S594" t="s">
        <v>342</v>
      </c>
      <c r="T594" t="s">
        <v>343</v>
      </c>
      <c r="U594">
        <v>2017</v>
      </c>
      <c r="V594">
        <v>40857</v>
      </c>
    </row>
    <row r="595" spans="17:22">
      <c r="Q595">
        <v>3361</v>
      </c>
      <c r="R595">
        <v>7</v>
      </c>
      <c r="S595" t="s">
        <v>342</v>
      </c>
      <c r="T595" t="s">
        <v>343</v>
      </c>
      <c r="U595">
        <v>2018</v>
      </c>
      <c r="V595">
        <v>39490</v>
      </c>
    </row>
    <row r="596" spans="17:22">
      <c r="Q596">
        <v>3361</v>
      </c>
      <c r="R596">
        <v>7</v>
      </c>
      <c r="S596" t="s">
        <v>342</v>
      </c>
      <c r="T596" t="s">
        <v>343</v>
      </c>
      <c r="U596">
        <v>2019</v>
      </c>
      <c r="V596">
        <v>38974</v>
      </c>
    </row>
    <row r="597" spans="17:22">
      <c r="Q597">
        <v>3361</v>
      </c>
      <c r="R597">
        <v>7</v>
      </c>
      <c r="S597" t="s">
        <v>342</v>
      </c>
      <c r="T597" t="s">
        <v>343</v>
      </c>
      <c r="U597">
        <v>2020</v>
      </c>
      <c r="V597">
        <v>34317</v>
      </c>
    </row>
    <row r="598" spans="17:22">
      <c r="Q598">
        <v>3361</v>
      </c>
      <c r="R598">
        <v>7</v>
      </c>
      <c r="S598" t="s">
        <v>342</v>
      </c>
      <c r="T598" t="s">
        <v>343</v>
      </c>
      <c r="U598">
        <v>2021</v>
      </c>
      <c r="V598">
        <v>45057</v>
      </c>
    </row>
    <row r="599" spans="17:22">
      <c r="Q599">
        <v>3361</v>
      </c>
      <c r="R599">
        <v>7</v>
      </c>
      <c r="S599" t="s">
        <v>342</v>
      </c>
      <c r="T599" t="s">
        <v>343</v>
      </c>
      <c r="U599">
        <v>2022</v>
      </c>
      <c r="V599">
        <v>44847</v>
      </c>
    </row>
    <row r="600" spans="17:22">
      <c r="Q600">
        <v>3361</v>
      </c>
      <c r="R600">
        <v>7</v>
      </c>
      <c r="S600" t="s">
        <v>342</v>
      </c>
      <c r="T600" t="s">
        <v>343</v>
      </c>
      <c r="U600">
        <v>2023</v>
      </c>
      <c r="V600">
        <v>48746</v>
      </c>
    </row>
    <row r="601" spans="17:22">
      <c r="Q601">
        <v>3361</v>
      </c>
      <c r="R601">
        <v>7</v>
      </c>
      <c r="S601" t="s">
        <v>342</v>
      </c>
      <c r="T601" t="s">
        <v>343</v>
      </c>
      <c r="U601">
        <v>2024</v>
      </c>
      <c r="V601">
        <v>48138</v>
      </c>
    </row>
    <row r="602" spans="17:22">
      <c r="Q602">
        <v>3362</v>
      </c>
      <c r="R602">
        <v>7</v>
      </c>
      <c r="S602" t="s">
        <v>342</v>
      </c>
      <c r="T602" t="s">
        <v>343</v>
      </c>
      <c r="U602">
        <v>2001</v>
      </c>
      <c r="V602">
        <v>10139</v>
      </c>
    </row>
    <row r="603" spans="17:22">
      <c r="Q603">
        <v>3362</v>
      </c>
      <c r="R603">
        <v>7</v>
      </c>
      <c r="S603" t="s">
        <v>342</v>
      </c>
      <c r="T603" t="s">
        <v>343</v>
      </c>
      <c r="U603">
        <v>2002</v>
      </c>
      <c r="V603">
        <v>10090</v>
      </c>
    </row>
    <row r="604" spans="17:22">
      <c r="Q604">
        <v>3362</v>
      </c>
      <c r="R604">
        <v>7</v>
      </c>
      <c r="S604" t="s">
        <v>342</v>
      </c>
      <c r="T604" t="s">
        <v>343</v>
      </c>
      <c r="U604">
        <v>2003</v>
      </c>
      <c r="V604">
        <v>9389</v>
      </c>
    </row>
    <row r="605" spans="17:22">
      <c r="Q605">
        <v>3362</v>
      </c>
      <c r="R605">
        <v>7</v>
      </c>
      <c r="S605" t="s">
        <v>342</v>
      </c>
      <c r="T605" t="s">
        <v>343</v>
      </c>
      <c r="U605">
        <v>2004</v>
      </c>
      <c r="V605">
        <v>9813</v>
      </c>
    </row>
    <row r="606" spans="17:22">
      <c r="Q606">
        <v>3362</v>
      </c>
      <c r="R606">
        <v>7</v>
      </c>
      <c r="S606" t="s">
        <v>342</v>
      </c>
      <c r="T606" t="s">
        <v>343</v>
      </c>
      <c r="U606">
        <v>2005</v>
      </c>
      <c r="V606">
        <v>8972</v>
      </c>
    </row>
    <row r="607" spans="17:22">
      <c r="Q607">
        <v>3362</v>
      </c>
      <c r="R607">
        <v>7</v>
      </c>
      <c r="S607" t="s">
        <v>342</v>
      </c>
      <c r="T607" t="s">
        <v>343</v>
      </c>
      <c r="U607">
        <v>2006</v>
      </c>
      <c r="V607">
        <v>8904</v>
      </c>
    </row>
    <row r="608" spans="17:22">
      <c r="Q608">
        <v>3362</v>
      </c>
      <c r="R608">
        <v>7</v>
      </c>
      <c r="S608" t="s">
        <v>342</v>
      </c>
      <c r="T608" t="s">
        <v>343</v>
      </c>
      <c r="U608">
        <v>2007</v>
      </c>
      <c r="V608">
        <v>8837</v>
      </c>
    </row>
    <row r="609" spans="17:22">
      <c r="Q609">
        <v>3362</v>
      </c>
      <c r="R609">
        <v>7</v>
      </c>
      <c r="S609" t="s">
        <v>342</v>
      </c>
      <c r="T609" t="s">
        <v>343</v>
      </c>
      <c r="U609">
        <v>2008</v>
      </c>
      <c r="V609">
        <v>7411</v>
      </c>
    </row>
    <row r="610" spans="17:22">
      <c r="Q610">
        <v>3362</v>
      </c>
      <c r="R610">
        <v>7</v>
      </c>
      <c r="S610" t="s">
        <v>342</v>
      </c>
      <c r="T610" t="s">
        <v>343</v>
      </c>
      <c r="U610">
        <v>2009</v>
      </c>
      <c r="V610">
        <v>6034</v>
      </c>
    </row>
    <row r="611" spans="17:22">
      <c r="Q611">
        <v>3362</v>
      </c>
      <c r="R611">
        <v>7</v>
      </c>
      <c r="S611" t="s">
        <v>342</v>
      </c>
      <c r="T611" t="s">
        <v>343</v>
      </c>
      <c r="U611">
        <v>2010</v>
      </c>
      <c r="V611">
        <v>6268</v>
      </c>
    </row>
    <row r="612" spans="17:22">
      <c r="Q612">
        <v>3362</v>
      </c>
      <c r="R612">
        <v>7</v>
      </c>
      <c r="S612" t="s">
        <v>342</v>
      </c>
      <c r="T612" t="s">
        <v>343</v>
      </c>
      <c r="U612">
        <v>2011</v>
      </c>
      <c r="V612">
        <v>6284</v>
      </c>
    </row>
    <row r="613" spans="17:22">
      <c r="Q613">
        <v>3362</v>
      </c>
      <c r="R613">
        <v>7</v>
      </c>
      <c r="S613" t="s">
        <v>342</v>
      </c>
      <c r="T613" t="s">
        <v>343</v>
      </c>
      <c r="U613">
        <v>2012</v>
      </c>
      <c r="V613">
        <v>6424</v>
      </c>
    </row>
    <row r="614" spans="17:22">
      <c r="Q614">
        <v>3362</v>
      </c>
      <c r="R614">
        <v>7</v>
      </c>
      <c r="S614" t="s">
        <v>342</v>
      </c>
      <c r="T614" t="s">
        <v>343</v>
      </c>
      <c r="U614">
        <v>2013</v>
      </c>
      <c r="V614">
        <v>6643</v>
      </c>
    </row>
    <row r="615" spans="17:22">
      <c r="Q615">
        <v>3362</v>
      </c>
      <c r="R615">
        <v>7</v>
      </c>
      <c r="S615" t="s">
        <v>342</v>
      </c>
      <c r="T615" t="s">
        <v>343</v>
      </c>
      <c r="U615">
        <v>2014</v>
      </c>
      <c r="V615">
        <v>7242</v>
      </c>
    </row>
    <row r="616" spans="17:22">
      <c r="Q616">
        <v>3362</v>
      </c>
      <c r="R616">
        <v>7</v>
      </c>
      <c r="S616" t="s">
        <v>342</v>
      </c>
      <c r="T616" t="s">
        <v>343</v>
      </c>
      <c r="U616">
        <v>2015</v>
      </c>
      <c r="V616">
        <v>8161</v>
      </c>
    </row>
    <row r="617" spans="17:22">
      <c r="Q617">
        <v>3362</v>
      </c>
      <c r="R617">
        <v>7</v>
      </c>
      <c r="S617" t="s">
        <v>342</v>
      </c>
      <c r="T617" t="s">
        <v>343</v>
      </c>
      <c r="U617">
        <v>2016</v>
      </c>
      <c r="V617">
        <v>8600</v>
      </c>
    </row>
    <row r="618" spans="17:22">
      <c r="Q618">
        <v>3362</v>
      </c>
      <c r="R618">
        <v>7</v>
      </c>
      <c r="S618" t="s">
        <v>342</v>
      </c>
      <c r="T618" t="s">
        <v>343</v>
      </c>
      <c r="U618">
        <v>2017</v>
      </c>
      <c r="V618">
        <v>8708</v>
      </c>
    </row>
    <row r="619" spans="17:22">
      <c r="Q619">
        <v>3362</v>
      </c>
      <c r="R619">
        <v>7</v>
      </c>
      <c r="S619" t="s">
        <v>342</v>
      </c>
      <c r="T619" t="s">
        <v>343</v>
      </c>
      <c r="U619">
        <v>2018</v>
      </c>
      <c r="V619">
        <v>9041</v>
      </c>
    </row>
    <row r="620" spans="17:22">
      <c r="Q620">
        <v>3362</v>
      </c>
      <c r="R620">
        <v>7</v>
      </c>
      <c r="S620" t="s">
        <v>342</v>
      </c>
      <c r="T620" t="s">
        <v>343</v>
      </c>
      <c r="U620">
        <v>2019</v>
      </c>
      <c r="V620">
        <v>9047</v>
      </c>
    </row>
    <row r="621" spans="17:22">
      <c r="Q621">
        <v>3362</v>
      </c>
      <c r="R621">
        <v>7</v>
      </c>
      <c r="S621" t="s">
        <v>342</v>
      </c>
      <c r="T621" t="s">
        <v>343</v>
      </c>
      <c r="U621">
        <v>2020</v>
      </c>
      <c r="V621">
        <v>7740</v>
      </c>
    </row>
    <row r="622" spans="17:22">
      <c r="Q622">
        <v>3362</v>
      </c>
      <c r="R622">
        <v>7</v>
      </c>
      <c r="S622" t="s">
        <v>342</v>
      </c>
      <c r="T622" t="s">
        <v>343</v>
      </c>
      <c r="U622">
        <v>2021</v>
      </c>
      <c r="V622">
        <v>8038</v>
      </c>
    </row>
    <row r="623" spans="17:22">
      <c r="Q623">
        <v>3362</v>
      </c>
      <c r="R623">
        <v>7</v>
      </c>
      <c r="S623" t="s">
        <v>342</v>
      </c>
      <c r="T623" t="s">
        <v>343</v>
      </c>
      <c r="U623">
        <v>2022</v>
      </c>
      <c r="V623">
        <v>8377</v>
      </c>
    </row>
    <row r="624" spans="17:22">
      <c r="Q624">
        <v>3362</v>
      </c>
      <c r="R624">
        <v>7</v>
      </c>
      <c r="S624" t="s">
        <v>342</v>
      </c>
      <c r="T624" t="s">
        <v>343</v>
      </c>
      <c r="U624">
        <v>2023</v>
      </c>
      <c r="V624">
        <v>8544</v>
      </c>
    </row>
    <row r="625" spans="17:22">
      <c r="Q625">
        <v>3362</v>
      </c>
      <c r="R625">
        <v>7</v>
      </c>
      <c r="S625" t="s">
        <v>342</v>
      </c>
      <c r="T625" t="s">
        <v>343</v>
      </c>
      <c r="U625">
        <v>2024</v>
      </c>
      <c r="V625">
        <v>7921</v>
      </c>
    </row>
    <row r="626" spans="17:22">
      <c r="Q626">
        <v>3363</v>
      </c>
      <c r="R626">
        <v>7</v>
      </c>
      <c r="S626" t="s">
        <v>342</v>
      </c>
      <c r="T626" t="s">
        <v>343</v>
      </c>
      <c r="U626">
        <v>2001</v>
      </c>
      <c r="V626">
        <v>203833</v>
      </c>
    </row>
    <row r="627" spans="17:22">
      <c r="Q627">
        <v>3363</v>
      </c>
      <c r="R627">
        <v>7</v>
      </c>
      <c r="S627" t="s">
        <v>342</v>
      </c>
      <c r="T627" t="s">
        <v>343</v>
      </c>
      <c r="U627">
        <v>2002</v>
      </c>
      <c r="V627">
        <v>191518</v>
      </c>
    </row>
    <row r="628" spans="17:22">
      <c r="Q628">
        <v>3363</v>
      </c>
      <c r="R628">
        <v>7</v>
      </c>
      <c r="S628" t="s">
        <v>342</v>
      </c>
      <c r="T628" t="s">
        <v>343</v>
      </c>
      <c r="U628">
        <v>2003</v>
      </c>
      <c r="V628">
        <v>177191</v>
      </c>
    </row>
    <row r="629" spans="17:22">
      <c r="Q629">
        <v>3363</v>
      </c>
      <c r="R629">
        <v>7</v>
      </c>
      <c r="S629" t="s">
        <v>342</v>
      </c>
      <c r="T629" t="s">
        <v>343</v>
      </c>
      <c r="U629">
        <v>2004</v>
      </c>
      <c r="V629">
        <v>168955</v>
      </c>
    </row>
    <row r="630" spans="17:22">
      <c r="Q630">
        <v>3363</v>
      </c>
      <c r="R630">
        <v>7</v>
      </c>
      <c r="S630" t="s">
        <v>342</v>
      </c>
      <c r="T630" t="s">
        <v>343</v>
      </c>
      <c r="U630">
        <v>2005</v>
      </c>
      <c r="V630">
        <v>157602</v>
      </c>
    </row>
    <row r="631" spans="17:22">
      <c r="Q631">
        <v>3363</v>
      </c>
      <c r="R631">
        <v>7</v>
      </c>
      <c r="S631" t="s">
        <v>342</v>
      </c>
      <c r="T631" t="s">
        <v>343</v>
      </c>
      <c r="U631">
        <v>2006</v>
      </c>
      <c r="V631">
        <v>145983</v>
      </c>
    </row>
    <row r="632" spans="17:22">
      <c r="Q632">
        <v>3363</v>
      </c>
      <c r="R632">
        <v>7</v>
      </c>
      <c r="S632" t="s">
        <v>342</v>
      </c>
      <c r="T632" t="s">
        <v>343</v>
      </c>
      <c r="U632">
        <v>2007</v>
      </c>
      <c r="V632">
        <v>130657</v>
      </c>
    </row>
    <row r="633" spans="17:22">
      <c r="Q633">
        <v>3363</v>
      </c>
      <c r="R633">
        <v>7</v>
      </c>
      <c r="S633" t="s">
        <v>342</v>
      </c>
      <c r="T633" t="s">
        <v>343</v>
      </c>
      <c r="U633">
        <v>2008</v>
      </c>
      <c r="V633">
        <v>110766</v>
      </c>
    </row>
    <row r="634" spans="17:22">
      <c r="Q634">
        <v>3363</v>
      </c>
      <c r="R634">
        <v>7</v>
      </c>
      <c r="S634" t="s">
        <v>342</v>
      </c>
      <c r="T634" t="s">
        <v>343</v>
      </c>
      <c r="U634">
        <v>2009</v>
      </c>
      <c r="V634">
        <v>81368</v>
      </c>
    </row>
    <row r="635" spans="17:22">
      <c r="Q635">
        <v>3363</v>
      </c>
      <c r="R635">
        <v>7</v>
      </c>
      <c r="S635" t="s">
        <v>342</v>
      </c>
      <c r="T635" t="s">
        <v>343</v>
      </c>
      <c r="U635">
        <v>2010</v>
      </c>
      <c r="V635">
        <v>84526</v>
      </c>
    </row>
    <row r="636" spans="17:22">
      <c r="Q636">
        <v>3363</v>
      </c>
      <c r="R636">
        <v>7</v>
      </c>
      <c r="S636" t="s">
        <v>342</v>
      </c>
      <c r="T636" t="s">
        <v>343</v>
      </c>
      <c r="U636">
        <v>2011</v>
      </c>
      <c r="V636">
        <v>93801</v>
      </c>
    </row>
    <row r="637" spans="17:22">
      <c r="Q637">
        <v>3363</v>
      </c>
      <c r="R637">
        <v>7</v>
      </c>
      <c r="S637" t="s">
        <v>342</v>
      </c>
      <c r="T637" t="s">
        <v>343</v>
      </c>
      <c r="U637">
        <v>2012</v>
      </c>
      <c r="V637">
        <v>103956</v>
      </c>
    </row>
    <row r="638" spans="17:22">
      <c r="Q638">
        <v>3363</v>
      </c>
      <c r="R638">
        <v>7</v>
      </c>
      <c r="S638" t="s">
        <v>342</v>
      </c>
      <c r="T638" t="s">
        <v>343</v>
      </c>
      <c r="U638">
        <v>2013</v>
      </c>
      <c r="V638">
        <v>109787</v>
      </c>
    </row>
    <row r="639" spans="17:22">
      <c r="Q639">
        <v>3363</v>
      </c>
      <c r="R639">
        <v>7</v>
      </c>
      <c r="S639" t="s">
        <v>342</v>
      </c>
      <c r="T639" t="s">
        <v>343</v>
      </c>
      <c r="U639">
        <v>2014</v>
      </c>
      <c r="V639">
        <v>117192</v>
      </c>
    </row>
    <row r="640" spans="17:22">
      <c r="Q640">
        <v>3363</v>
      </c>
      <c r="R640">
        <v>7</v>
      </c>
      <c r="S640" t="s">
        <v>342</v>
      </c>
      <c r="T640" t="s">
        <v>343</v>
      </c>
      <c r="U640">
        <v>2015</v>
      </c>
      <c r="V640">
        <v>121832</v>
      </c>
    </row>
    <row r="641" spans="17:22">
      <c r="Q641">
        <v>3363</v>
      </c>
      <c r="R641">
        <v>7</v>
      </c>
      <c r="S641" t="s">
        <v>342</v>
      </c>
      <c r="T641" t="s">
        <v>343</v>
      </c>
      <c r="U641">
        <v>2016</v>
      </c>
      <c r="V641">
        <v>127243</v>
      </c>
    </row>
    <row r="642" spans="17:22">
      <c r="Q642">
        <v>3363</v>
      </c>
      <c r="R642">
        <v>7</v>
      </c>
      <c r="S642" t="s">
        <v>342</v>
      </c>
      <c r="T642" t="s">
        <v>343</v>
      </c>
      <c r="U642">
        <v>2017</v>
      </c>
      <c r="V642">
        <v>131146</v>
      </c>
    </row>
    <row r="643" spans="17:22">
      <c r="Q643">
        <v>3363</v>
      </c>
      <c r="R643">
        <v>7</v>
      </c>
      <c r="S643" t="s">
        <v>342</v>
      </c>
      <c r="T643" t="s">
        <v>343</v>
      </c>
      <c r="U643">
        <v>2018</v>
      </c>
      <c r="V643">
        <v>134464</v>
      </c>
    </row>
    <row r="644" spans="17:22">
      <c r="Q644">
        <v>3363</v>
      </c>
      <c r="R644">
        <v>7</v>
      </c>
      <c r="S644" t="s">
        <v>342</v>
      </c>
      <c r="T644" t="s">
        <v>343</v>
      </c>
      <c r="U644">
        <v>2019</v>
      </c>
      <c r="V644">
        <v>132800</v>
      </c>
    </row>
    <row r="645" spans="17:22">
      <c r="Q645">
        <v>3363</v>
      </c>
      <c r="R645">
        <v>7</v>
      </c>
      <c r="S645" t="s">
        <v>342</v>
      </c>
      <c r="T645" t="s">
        <v>343</v>
      </c>
      <c r="U645">
        <v>2020</v>
      </c>
      <c r="V645">
        <v>112670</v>
      </c>
    </row>
    <row r="646" spans="17:22">
      <c r="Q646">
        <v>3363</v>
      </c>
      <c r="R646">
        <v>7</v>
      </c>
      <c r="S646" t="s">
        <v>342</v>
      </c>
      <c r="T646" t="s">
        <v>343</v>
      </c>
      <c r="U646">
        <v>2021</v>
      </c>
      <c r="V646">
        <v>121774</v>
      </c>
    </row>
    <row r="647" spans="17:22">
      <c r="Q647">
        <v>3363</v>
      </c>
      <c r="R647">
        <v>7</v>
      </c>
      <c r="S647" t="s">
        <v>342</v>
      </c>
      <c r="T647" t="s">
        <v>343</v>
      </c>
      <c r="U647">
        <v>2022</v>
      </c>
      <c r="V647">
        <v>123914</v>
      </c>
    </row>
    <row r="648" spans="17:22">
      <c r="Q648">
        <v>3363</v>
      </c>
      <c r="R648">
        <v>7</v>
      </c>
      <c r="S648" t="s">
        <v>342</v>
      </c>
      <c r="T648" t="s">
        <v>343</v>
      </c>
      <c r="U648">
        <v>2023</v>
      </c>
      <c r="V648">
        <v>121825</v>
      </c>
    </row>
    <row r="649" spans="17:22">
      <c r="Q649">
        <v>3363</v>
      </c>
      <c r="R649">
        <v>7</v>
      </c>
      <c r="S649" t="s">
        <v>342</v>
      </c>
      <c r="T649" t="s">
        <v>343</v>
      </c>
      <c r="U649">
        <v>2024</v>
      </c>
      <c r="V649">
        <v>117023</v>
      </c>
    </row>
    <row r="650" spans="17:22">
      <c r="Q650">
        <v>4231</v>
      </c>
      <c r="R650">
        <v>8</v>
      </c>
      <c r="S650" t="s">
        <v>347</v>
      </c>
      <c r="T650" t="s">
        <v>348</v>
      </c>
      <c r="U650">
        <v>2001</v>
      </c>
      <c r="V650">
        <v>20063</v>
      </c>
    </row>
    <row r="651" spans="17:22">
      <c r="Q651">
        <v>4231</v>
      </c>
      <c r="R651">
        <v>8</v>
      </c>
      <c r="S651" t="s">
        <v>347</v>
      </c>
      <c r="T651" t="s">
        <v>348</v>
      </c>
      <c r="U651">
        <v>2002</v>
      </c>
      <c r="V651">
        <v>19374</v>
      </c>
    </row>
    <row r="652" spans="17:22">
      <c r="Q652">
        <v>4231</v>
      </c>
      <c r="R652">
        <v>8</v>
      </c>
      <c r="S652" t="s">
        <v>347</v>
      </c>
      <c r="T652" t="s">
        <v>348</v>
      </c>
      <c r="U652">
        <v>2003</v>
      </c>
      <c r="V652">
        <v>19484</v>
      </c>
    </row>
    <row r="653" spans="17:22">
      <c r="Q653">
        <v>4231</v>
      </c>
      <c r="R653">
        <v>8</v>
      </c>
      <c r="S653" t="s">
        <v>347</v>
      </c>
      <c r="T653" t="s">
        <v>348</v>
      </c>
      <c r="U653">
        <v>2004</v>
      </c>
      <c r="V653">
        <v>19648</v>
      </c>
    </row>
    <row r="654" spans="17:22">
      <c r="Q654">
        <v>4231</v>
      </c>
      <c r="R654">
        <v>8</v>
      </c>
      <c r="S654" t="s">
        <v>347</v>
      </c>
      <c r="T654" t="s">
        <v>348</v>
      </c>
      <c r="U654">
        <v>2005</v>
      </c>
      <c r="V654">
        <v>19348</v>
      </c>
    </row>
    <row r="655" spans="17:22">
      <c r="Q655">
        <v>4231</v>
      </c>
      <c r="R655">
        <v>8</v>
      </c>
      <c r="S655" t="s">
        <v>347</v>
      </c>
      <c r="T655" t="s">
        <v>348</v>
      </c>
      <c r="U655">
        <v>2006</v>
      </c>
      <c r="V655">
        <v>19424</v>
      </c>
    </row>
    <row r="656" spans="17:22">
      <c r="Q656">
        <v>4231</v>
      </c>
      <c r="R656">
        <v>8</v>
      </c>
      <c r="S656" t="s">
        <v>347</v>
      </c>
      <c r="T656" t="s">
        <v>348</v>
      </c>
      <c r="U656">
        <v>2007</v>
      </c>
      <c r="V656">
        <v>19086</v>
      </c>
    </row>
    <row r="657" spans="17:22">
      <c r="Q657">
        <v>4231</v>
      </c>
      <c r="R657">
        <v>8</v>
      </c>
      <c r="S657" t="s">
        <v>347</v>
      </c>
      <c r="T657" t="s">
        <v>348</v>
      </c>
      <c r="U657">
        <v>2008</v>
      </c>
      <c r="V657">
        <v>18168</v>
      </c>
    </row>
    <row r="658" spans="17:22">
      <c r="Q658">
        <v>4231</v>
      </c>
      <c r="R658">
        <v>8</v>
      </c>
      <c r="S658" t="s">
        <v>347</v>
      </c>
      <c r="T658" t="s">
        <v>348</v>
      </c>
      <c r="U658">
        <v>2009</v>
      </c>
      <c r="V658">
        <v>15653</v>
      </c>
    </row>
    <row r="659" spans="17:22">
      <c r="Q659">
        <v>4231</v>
      </c>
      <c r="R659">
        <v>8</v>
      </c>
      <c r="S659" t="s">
        <v>347</v>
      </c>
      <c r="T659" t="s">
        <v>348</v>
      </c>
      <c r="U659">
        <v>2010</v>
      </c>
      <c r="V659">
        <v>15600</v>
      </c>
    </row>
    <row r="660" spans="17:22">
      <c r="Q660">
        <v>4231</v>
      </c>
      <c r="R660">
        <v>8</v>
      </c>
      <c r="S660" t="s">
        <v>347</v>
      </c>
      <c r="T660" t="s">
        <v>348</v>
      </c>
      <c r="U660">
        <v>2011</v>
      </c>
      <c r="V660">
        <v>16930</v>
      </c>
    </row>
    <row r="661" spans="17:22">
      <c r="Q661">
        <v>4231</v>
      </c>
      <c r="R661">
        <v>8</v>
      </c>
      <c r="S661" t="s">
        <v>347</v>
      </c>
      <c r="T661" t="s">
        <v>348</v>
      </c>
      <c r="U661">
        <v>2012</v>
      </c>
      <c r="V661">
        <v>17912</v>
      </c>
    </row>
    <row r="662" spans="17:22">
      <c r="Q662">
        <v>4231</v>
      </c>
      <c r="R662">
        <v>8</v>
      </c>
      <c r="S662" t="s">
        <v>347</v>
      </c>
      <c r="T662" t="s">
        <v>348</v>
      </c>
      <c r="U662">
        <v>2013</v>
      </c>
      <c r="V662">
        <v>18589</v>
      </c>
    </row>
    <row r="663" spans="17:22">
      <c r="Q663">
        <v>4231</v>
      </c>
      <c r="R663">
        <v>8</v>
      </c>
      <c r="S663" t="s">
        <v>347</v>
      </c>
      <c r="T663" t="s">
        <v>348</v>
      </c>
      <c r="U663">
        <v>2014</v>
      </c>
      <c r="V663">
        <v>19759</v>
      </c>
    </row>
    <row r="664" spans="17:22">
      <c r="Q664">
        <v>4231</v>
      </c>
      <c r="R664">
        <v>8</v>
      </c>
      <c r="S664" t="s">
        <v>347</v>
      </c>
      <c r="T664" t="s">
        <v>348</v>
      </c>
      <c r="U664">
        <v>2015</v>
      </c>
      <c r="V664">
        <v>20564</v>
      </c>
    </row>
    <row r="665" spans="17:22">
      <c r="Q665">
        <v>4231</v>
      </c>
      <c r="R665">
        <v>8</v>
      </c>
      <c r="S665" t="s">
        <v>347</v>
      </c>
      <c r="T665" t="s">
        <v>348</v>
      </c>
      <c r="U665">
        <v>2016</v>
      </c>
      <c r="V665">
        <v>20828</v>
      </c>
    </row>
    <row r="666" spans="17:22">
      <c r="Q666">
        <v>4231</v>
      </c>
      <c r="R666">
        <v>8</v>
      </c>
      <c r="S666" t="s">
        <v>347</v>
      </c>
      <c r="T666" t="s">
        <v>348</v>
      </c>
      <c r="U666">
        <v>2017</v>
      </c>
      <c r="V666">
        <v>20945</v>
      </c>
    </row>
    <row r="667" spans="17:22">
      <c r="Q667">
        <v>4231</v>
      </c>
      <c r="R667">
        <v>8</v>
      </c>
      <c r="S667" t="s">
        <v>347</v>
      </c>
      <c r="T667" t="s">
        <v>348</v>
      </c>
      <c r="U667">
        <v>2018</v>
      </c>
      <c r="V667">
        <v>22017</v>
      </c>
    </row>
    <row r="668" spans="17:22">
      <c r="Q668">
        <v>4231</v>
      </c>
      <c r="R668">
        <v>8</v>
      </c>
      <c r="S668" t="s">
        <v>347</v>
      </c>
      <c r="T668" t="s">
        <v>348</v>
      </c>
      <c r="U668">
        <v>2019</v>
      </c>
      <c r="V668">
        <v>22848</v>
      </c>
    </row>
    <row r="669" spans="17:22">
      <c r="Q669">
        <v>4231</v>
      </c>
      <c r="R669">
        <v>8</v>
      </c>
      <c r="S669" t="s">
        <v>347</v>
      </c>
      <c r="T669" t="s">
        <v>348</v>
      </c>
      <c r="U669">
        <v>2020</v>
      </c>
      <c r="V669">
        <v>21013</v>
      </c>
    </row>
    <row r="670" spans="17:22">
      <c r="Q670">
        <v>4231</v>
      </c>
      <c r="R670">
        <v>8</v>
      </c>
      <c r="S670" t="s">
        <v>347</v>
      </c>
      <c r="T670" t="s">
        <v>348</v>
      </c>
      <c r="U670">
        <v>2021</v>
      </c>
      <c r="V670">
        <v>23938</v>
      </c>
    </row>
    <row r="671" spans="17:22">
      <c r="Q671">
        <v>4231</v>
      </c>
      <c r="R671">
        <v>8</v>
      </c>
      <c r="S671" t="s">
        <v>347</v>
      </c>
      <c r="T671" t="s">
        <v>348</v>
      </c>
      <c r="U671">
        <v>2022</v>
      </c>
      <c r="V671">
        <v>24911</v>
      </c>
    </row>
    <row r="672" spans="17:22">
      <c r="Q672">
        <v>4231</v>
      </c>
      <c r="R672">
        <v>8</v>
      </c>
      <c r="S672" t="s">
        <v>347</v>
      </c>
      <c r="T672" t="s">
        <v>348</v>
      </c>
      <c r="U672">
        <v>2023</v>
      </c>
      <c r="V672">
        <v>25506</v>
      </c>
    </row>
    <row r="673" spans="17:22">
      <c r="Q673">
        <v>4231</v>
      </c>
      <c r="R673">
        <v>8</v>
      </c>
      <c r="S673" t="s">
        <v>347</v>
      </c>
      <c r="T673" t="s">
        <v>348</v>
      </c>
      <c r="U673">
        <v>2024</v>
      </c>
      <c r="V673">
        <v>25978</v>
      </c>
    </row>
    <row r="674" spans="17:22">
      <c r="Q674">
        <v>4235</v>
      </c>
      <c r="R674">
        <v>8</v>
      </c>
      <c r="S674" t="s">
        <v>347</v>
      </c>
      <c r="T674" t="s">
        <v>348</v>
      </c>
      <c r="U674">
        <v>2001</v>
      </c>
      <c r="V674">
        <v>7797</v>
      </c>
    </row>
    <row r="675" spans="17:22">
      <c r="Q675">
        <v>4235</v>
      </c>
      <c r="R675">
        <v>8</v>
      </c>
      <c r="S675" t="s">
        <v>347</v>
      </c>
      <c r="T675" t="s">
        <v>348</v>
      </c>
      <c r="U675">
        <v>2002</v>
      </c>
      <c r="V675">
        <v>7855</v>
      </c>
    </row>
    <row r="676" spans="17:22">
      <c r="Q676">
        <v>4235</v>
      </c>
      <c r="R676">
        <v>8</v>
      </c>
      <c r="S676" t="s">
        <v>347</v>
      </c>
      <c r="T676" t="s">
        <v>348</v>
      </c>
      <c r="U676">
        <v>2003</v>
      </c>
      <c r="V676">
        <v>7574</v>
      </c>
    </row>
    <row r="677" spans="17:22">
      <c r="Q677">
        <v>4235</v>
      </c>
      <c r="R677">
        <v>8</v>
      </c>
      <c r="S677" t="s">
        <v>347</v>
      </c>
      <c r="T677" t="s">
        <v>348</v>
      </c>
      <c r="U677">
        <v>2004</v>
      </c>
      <c r="V677">
        <v>7382</v>
      </c>
    </row>
    <row r="678" spans="17:22">
      <c r="Q678">
        <v>4235</v>
      </c>
      <c r="R678">
        <v>8</v>
      </c>
      <c r="S678" t="s">
        <v>347</v>
      </c>
      <c r="T678" t="s">
        <v>348</v>
      </c>
      <c r="U678">
        <v>2005</v>
      </c>
      <c r="V678">
        <v>6993</v>
      </c>
    </row>
    <row r="679" spans="17:22">
      <c r="Q679">
        <v>4235</v>
      </c>
      <c r="R679">
        <v>8</v>
      </c>
      <c r="S679" t="s">
        <v>347</v>
      </c>
      <c r="T679" t="s">
        <v>348</v>
      </c>
      <c r="U679">
        <v>2006</v>
      </c>
      <c r="V679">
        <v>7099</v>
      </c>
    </row>
    <row r="680" spans="17:22">
      <c r="Q680">
        <v>4235</v>
      </c>
      <c r="R680">
        <v>8</v>
      </c>
      <c r="S680" t="s">
        <v>347</v>
      </c>
      <c r="T680" t="s">
        <v>348</v>
      </c>
      <c r="U680">
        <v>2007</v>
      </c>
      <c r="V680">
        <v>6898</v>
      </c>
    </row>
    <row r="681" spans="17:22">
      <c r="Q681">
        <v>4235</v>
      </c>
      <c r="R681">
        <v>8</v>
      </c>
      <c r="S681" t="s">
        <v>347</v>
      </c>
      <c r="T681" t="s">
        <v>348</v>
      </c>
      <c r="U681">
        <v>2008</v>
      </c>
      <c r="V681">
        <v>6855</v>
      </c>
    </row>
    <row r="682" spans="17:22">
      <c r="Q682">
        <v>4235</v>
      </c>
      <c r="R682">
        <v>8</v>
      </c>
      <c r="S682" t="s">
        <v>347</v>
      </c>
      <c r="T682" t="s">
        <v>348</v>
      </c>
      <c r="U682">
        <v>2009</v>
      </c>
      <c r="V682">
        <v>5564</v>
      </c>
    </row>
    <row r="683" spans="17:22">
      <c r="Q683">
        <v>4235</v>
      </c>
      <c r="R683">
        <v>8</v>
      </c>
      <c r="S683" t="s">
        <v>347</v>
      </c>
      <c r="T683" t="s">
        <v>348</v>
      </c>
      <c r="U683">
        <v>2010</v>
      </c>
      <c r="V683">
        <v>5434</v>
      </c>
    </row>
    <row r="684" spans="17:22">
      <c r="Q684">
        <v>4235</v>
      </c>
      <c r="R684">
        <v>8</v>
      </c>
      <c r="S684" t="s">
        <v>347</v>
      </c>
      <c r="T684" t="s">
        <v>348</v>
      </c>
      <c r="U684">
        <v>2011</v>
      </c>
      <c r="V684">
        <v>5909</v>
      </c>
    </row>
    <row r="685" spans="17:22">
      <c r="Q685">
        <v>4235</v>
      </c>
      <c r="R685">
        <v>8</v>
      </c>
      <c r="S685" t="s">
        <v>347</v>
      </c>
      <c r="T685" t="s">
        <v>348</v>
      </c>
      <c r="U685">
        <v>2012</v>
      </c>
      <c r="V685">
        <v>6338</v>
      </c>
    </row>
    <row r="686" spans="17:22">
      <c r="Q686">
        <v>4235</v>
      </c>
      <c r="R686">
        <v>8</v>
      </c>
      <c r="S686" t="s">
        <v>347</v>
      </c>
      <c r="T686" t="s">
        <v>348</v>
      </c>
      <c r="U686">
        <v>2013</v>
      </c>
      <c r="V686">
        <v>6423</v>
      </c>
    </row>
    <row r="687" spans="17:22">
      <c r="Q687">
        <v>4235</v>
      </c>
      <c r="R687">
        <v>8</v>
      </c>
      <c r="S687" t="s">
        <v>347</v>
      </c>
      <c r="T687" t="s">
        <v>348</v>
      </c>
      <c r="U687">
        <v>2014</v>
      </c>
      <c r="V687">
        <v>6734</v>
      </c>
    </row>
    <row r="688" spans="17:22">
      <c r="Q688">
        <v>4235</v>
      </c>
      <c r="R688">
        <v>8</v>
      </c>
      <c r="S688" t="s">
        <v>347</v>
      </c>
      <c r="T688" t="s">
        <v>348</v>
      </c>
      <c r="U688">
        <v>2015</v>
      </c>
      <c r="V688">
        <v>6571</v>
      </c>
    </row>
    <row r="689" spans="17:22">
      <c r="Q689">
        <v>4235</v>
      </c>
      <c r="R689">
        <v>8</v>
      </c>
      <c r="S689" t="s">
        <v>347</v>
      </c>
      <c r="T689" t="s">
        <v>348</v>
      </c>
      <c r="U689">
        <v>2016</v>
      </c>
      <c r="V689">
        <v>6662</v>
      </c>
    </row>
    <row r="690" spans="17:22">
      <c r="Q690">
        <v>4235</v>
      </c>
      <c r="R690">
        <v>8</v>
      </c>
      <c r="S690" t="s">
        <v>347</v>
      </c>
      <c r="T690" t="s">
        <v>348</v>
      </c>
      <c r="U690">
        <v>2017</v>
      </c>
      <c r="V690">
        <v>6491</v>
      </c>
    </row>
    <row r="691" spans="17:22">
      <c r="Q691">
        <v>4235</v>
      </c>
      <c r="R691">
        <v>8</v>
      </c>
      <c r="S691" t="s">
        <v>347</v>
      </c>
      <c r="T691" t="s">
        <v>348</v>
      </c>
      <c r="U691">
        <v>2018</v>
      </c>
      <c r="V691">
        <v>7191</v>
      </c>
    </row>
    <row r="692" spans="17:22">
      <c r="Q692">
        <v>4235</v>
      </c>
      <c r="R692">
        <v>8</v>
      </c>
      <c r="S692" t="s">
        <v>347</v>
      </c>
      <c r="T692" t="s">
        <v>348</v>
      </c>
      <c r="U692">
        <v>2019</v>
      </c>
      <c r="V692">
        <v>7116</v>
      </c>
    </row>
    <row r="693" spans="17:22">
      <c r="Q693">
        <v>4235</v>
      </c>
      <c r="R693">
        <v>8</v>
      </c>
      <c r="S693" t="s">
        <v>347</v>
      </c>
      <c r="T693" t="s">
        <v>348</v>
      </c>
      <c r="U693">
        <v>2020</v>
      </c>
      <c r="V693">
        <v>6290</v>
      </c>
    </row>
    <row r="694" spans="17:22">
      <c r="Q694">
        <v>4235</v>
      </c>
      <c r="R694">
        <v>8</v>
      </c>
      <c r="S694" t="s">
        <v>347</v>
      </c>
      <c r="T694" t="s">
        <v>348</v>
      </c>
      <c r="U694">
        <v>2021</v>
      </c>
      <c r="V694">
        <v>6053</v>
      </c>
    </row>
    <row r="695" spans="17:22">
      <c r="Q695">
        <v>4235</v>
      </c>
      <c r="R695">
        <v>8</v>
      </c>
      <c r="S695" t="s">
        <v>347</v>
      </c>
      <c r="T695" t="s">
        <v>348</v>
      </c>
      <c r="U695">
        <v>2022</v>
      </c>
      <c r="V695">
        <v>6245</v>
      </c>
    </row>
    <row r="696" spans="17:22">
      <c r="Q696">
        <v>4235</v>
      </c>
      <c r="R696">
        <v>8</v>
      </c>
      <c r="S696" t="s">
        <v>347</v>
      </c>
      <c r="T696" t="s">
        <v>348</v>
      </c>
      <c r="U696">
        <v>2023</v>
      </c>
      <c r="V696">
        <v>6517</v>
      </c>
    </row>
    <row r="697" spans="17:22">
      <c r="Q697">
        <v>4235</v>
      </c>
      <c r="R697">
        <v>8</v>
      </c>
      <c r="S697" t="s">
        <v>347</v>
      </c>
      <c r="T697" t="s">
        <v>348</v>
      </c>
      <c r="U697">
        <v>2024</v>
      </c>
      <c r="V697">
        <v>6359</v>
      </c>
    </row>
    <row r="698" spans="17:22">
      <c r="Q698">
        <v>4238</v>
      </c>
      <c r="R698">
        <v>8</v>
      </c>
      <c r="S698" t="s">
        <v>347</v>
      </c>
      <c r="T698" t="s">
        <v>348</v>
      </c>
      <c r="U698">
        <v>2001</v>
      </c>
      <c r="V698">
        <v>26299</v>
      </c>
    </row>
    <row r="699" spans="17:22">
      <c r="Q699">
        <v>4238</v>
      </c>
      <c r="R699">
        <v>8</v>
      </c>
      <c r="S699" t="s">
        <v>347</v>
      </c>
      <c r="T699" t="s">
        <v>348</v>
      </c>
      <c r="U699">
        <v>2002</v>
      </c>
      <c r="V699">
        <v>25009</v>
      </c>
    </row>
    <row r="700" spans="17:22">
      <c r="Q700">
        <v>4238</v>
      </c>
      <c r="R700">
        <v>8</v>
      </c>
      <c r="S700" t="s">
        <v>347</v>
      </c>
      <c r="T700" t="s">
        <v>348</v>
      </c>
      <c r="U700">
        <v>2003</v>
      </c>
      <c r="V700">
        <v>23935</v>
      </c>
    </row>
    <row r="701" spans="17:22">
      <c r="Q701">
        <v>4238</v>
      </c>
      <c r="R701">
        <v>8</v>
      </c>
      <c r="S701" t="s">
        <v>347</v>
      </c>
      <c r="T701" t="s">
        <v>348</v>
      </c>
      <c r="U701">
        <v>2004</v>
      </c>
      <c r="V701">
        <v>23510</v>
      </c>
    </row>
    <row r="702" spans="17:22">
      <c r="Q702">
        <v>4238</v>
      </c>
      <c r="R702">
        <v>8</v>
      </c>
      <c r="S702" t="s">
        <v>347</v>
      </c>
      <c r="T702" t="s">
        <v>348</v>
      </c>
      <c r="U702">
        <v>2005</v>
      </c>
      <c r="V702">
        <v>23707</v>
      </c>
    </row>
    <row r="703" spans="17:22">
      <c r="Q703">
        <v>4238</v>
      </c>
      <c r="R703">
        <v>8</v>
      </c>
      <c r="S703" t="s">
        <v>347</v>
      </c>
      <c r="T703" t="s">
        <v>348</v>
      </c>
      <c r="U703">
        <v>2006</v>
      </c>
      <c r="V703">
        <v>23770</v>
      </c>
    </row>
    <row r="704" spans="17:22">
      <c r="Q704">
        <v>4238</v>
      </c>
      <c r="R704">
        <v>8</v>
      </c>
      <c r="S704" t="s">
        <v>347</v>
      </c>
      <c r="T704" t="s">
        <v>348</v>
      </c>
      <c r="U704">
        <v>2007</v>
      </c>
      <c r="V704">
        <v>23795</v>
      </c>
    </row>
    <row r="705" spans="17:22">
      <c r="Q705">
        <v>4238</v>
      </c>
      <c r="R705">
        <v>8</v>
      </c>
      <c r="S705" t="s">
        <v>347</v>
      </c>
      <c r="T705" t="s">
        <v>348</v>
      </c>
      <c r="U705">
        <v>2008</v>
      </c>
      <c r="V705">
        <v>23681</v>
      </c>
    </row>
    <row r="706" spans="17:22">
      <c r="Q706">
        <v>4238</v>
      </c>
      <c r="R706">
        <v>8</v>
      </c>
      <c r="S706" t="s">
        <v>347</v>
      </c>
      <c r="T706" t="s">
        <v>348</v>
      </c>
      <c r="U706">
        <v>2009</v>
      </c>
      <c r="V706">
        <v>20902</v>
      </c>
    </row>
    <row r="707" spans="17:22">
      <c r="Q707">
        <v>4238</v>
      </c>
      <c r="R707">
        <v>8</v>
      </c>
      <c r="S707" t="s">
        <v>347</v>
      </c>
      <c r="T707" t="s">
        <v>348</v>
      </c>
      <c r="U707">
        <v>2010</v>
      </c>
      <c r="V707">
        <v>20420</v>
      </c>
    </row>
    <row r="708" spans="17:22">
      <c r="Q708">
        <v>4238</v>
      </c>
      <c r="R708">
        <v>8</v>
      </c>
      <c r="S708" t="s">
        <v>347</v>
      </c>
      <c r="T708" t="s">
        <v>348</v>
      </c>
      <c r="U708">
        <v>2011</v>
      </c>
      <c r="V708">
        <v>20725</v>
      </c>
    </row>
    <row r="709" spans="17:22">
      <c r="Q709">
        <v>4238</v>
      </c>
      <c r="R709">
        <v>8</v>
      </c>
      <c r="S709" t="s">
        <v>347</v>
      </c>
      <c r="T709" t="s">
        <v>348</v>
      </c>
      <c r="U709">
        <v>2012</v>
      </c>
      <c r="V709">
        <v>21625</v>
      </c>
    </row>
    <row r="710" spans="17:22">
      <c r="Q710">
        <v>4238</v>
      </c>
      <c r="R710">
        <v>8</v>
      </c>
      <c r="S710" t="s">
        <v>347</v>
      </c>
      <c r="T710" t="s">
        <v>348</v>
      </c>
      <c r="U710">
        <v>2013</v>
      </c>
      <c r="V710">
        <v>22228</v>
      </c>
    </row>
    <row r="711" spans="17:22">
      <c r="Q711">
        <v>4238</v>
      </c>
      <c r="R711">
        <v>8</v>
      </c>
      <c r="S711" t="s">
        <v>347</v>
      </c>
      <c r="T711" t="s">
        <v>348</v>
      </c>
      <c r="U711">
        <v>2014</v>
      </c>
      <c r="V711">
        <v>22852</v>
      </c>
    </row>
    <row r="712" spans="17:22">
      <c r="Q712">
        <v>4238</v>
      </c>
      <c r="R712">
        <v>8</v>
      </c>
      <c r="S712" t="s">
        <v>347</v>
      </c>
      <c r="T712" t="s">
        <v>348</v>
      </c>
      <c r="U712">
        <v>2015</v>
      </c>
      <c r="V712">
        <v>23367</v>
      </c>
    </row>
    <row r="713" spans="17:22">
      <c r="Q713">
        <v>4238</v>
      </c>
      <c r="R713">
        <v>8</v>
      </c>
      <c r="S713" t="s">
        <v>347</v>
      </c>
      <c r="T713" t="s">
        <v>348</v>
      </c>
      <c r="U713">
        <v>2016</v>
      </c>
      <c r="V713">
        <v>23625</v>
      </c>
    </row>
    <row r="714" spans="17:22">
      <c r="Q714">
        <v>4238</v>
      </c>
      <c r="R714">
        <v>8</v>
      </c>
      <c r="S714" t="s">
        <v>347</v>
      </c>
      <c r="T714" t="s">
        <v>348</v>
      </c>
      <c r="U714">
        <v>2017</v>
      </c>
      <c r="V714">
        <v>24386</v>
      </c>
    </row>
    <row r="715" spans="17:22">
      <c r="Q715">
        <v>4238</v>
      </c>
      <c r="R715">
        <v>8</v>
      </c>
      <c r="S715" t="s">
        <v>347</v>
      </c>
      <c r="T715" t="s">
        <v>348</v>
      </c>
      <c r="U715">
        <v>2018</v>
      </c>
      <c r="V715">
        <v>25165</v>
      </c>
    </row>
    <row r="716" spans="17:22">
      <c r="Q716">
        <v>4238</v>
      </c>
      <c r="R716">
        <v>8</v>
      </c>
      <c r="S716" t="s">
        <v>347</v>
      </c>
      <c r="T716" t="s">
        <v>348</v>
      </c>
      <c r="U716">
        <v>2019</v>
      </c>
      <c r="V716">
        <v>25229</v>
      </c>
    </row>
    <row r="717" spans="17:22">
      <c r="Q717">
        <v>4238</v>
      </c>
      <c r="R717">
        <v>8</v>
      </c>
      <c r="S717" t="s">
        <v>347</v>
      </c>
      <c r="T717" t="s">
        <v>348</v>
      </c>
      <c r="U717">
        <v>2020</v>
      </c>
      <c r="V717">
        <v>23247</v>
      </c>
    </row>
    <row r="718" spans="17:22">
      <c r="Q718">
        <v>4238</v>
      </c>
      <c r="R718">
        <v>8</v>
      </c>
      <c r="S718" t="s">
        <v>347</v>
      </c>
      <c r="T718" t="s">
        <v>348</v>
      </c>
      <c r="U718">
        <v>2021</v>
      </c>
      <c r="V718">
        <v>22266</v>
      </c>
    </row>
    <row r="719" spans="17:22">
      <c r="Q719">
        <v>4238</v>
      </c>
      <c r="R719">
        <v>8</v>
      </c>
      <c r="S719" t="s">
        <v>347</v>
      </c>
      <c r="T719" t="s">
        <v>348</v>
      </c>
      <c r="U719">
        <v>2022</v>
      </c>
      <c r="V719">
        <v>22812</v>
      </c>
    </row>
    <row r="720" spans="17:22">
      <c r="Q720">
        <v>4238</v>
      </c>
      <c r="R720">
        <v>8</v>
      </c>
      <c r="S720" t="s">
        <v>347</v>
      </c>
      <c r="T720" t="s">
        <v>348</v>
      </c>
      <c r="U720">
        <v>2023</v>
      </c>
      <c r="V720">
        <v>24017</v>
      </c>
    </row>
    <row r="721" spans="17:22">
      <c r="Q721">
        <v>4238</v>
      </c>
      <c r="R721">
        <v>8</v>
      </c>
      <c r="S721" t="s">
        <v>347</v>
      </c>
      <c r="T721" t="s">
        <v>348</v>
      </c>
      <c r="U721">
        <v>2024</v>
      </c>
      <c r="V721">
        <v>24407</v>
      </c>
    </row>
    <row r="722" spans="17:22">
      <c r="Q722">
        <v>4239</v>
      </c>
      <c r="R722">
        <v>8</v>
      </c>
      <c r="S722" t="s">
        <v>347</v>
      </c>
      <c r="T722" t="s">
        <v>348</v>
      </c>
      <c r="U722">
        <v>2001</v>
      </c>
      <c r="V722">
        <v>6498</v>
      </c>
    </row>
    <row r="723" spans="17:22">
      <c r="Q723">
        <v>4239</v>
      </c>
      <c r="R723">
        <v>8</v>
      </c>
      <c r="S723" t="s">
        <v>347</v>
      </c>
      <c r="T723" t="s">
        <v>348</v>
      </c>
      <c r="U723">
        <v>2002</v>
      </c>
      <c r="V723">
        <v>6452</v>
      </c>
    </row>
    <row r="724" spans="17:22">
      <c r="Q724">
        <v>4239</v>
      </c>
      <c r="R724">
        <v>8</v>
      </c>
      <c r="S724" t="s">
        <v>347</v>
      </c>
      <c r="T724" t="s">
        <v>348</v>
      </c>
      <c r="U724">
        <v>2003</v>
      </c>
      <c r="V724">
        <v>6462</v>
      </c>
    </row>
    <row r="725" spans="17:22">
      <c r="Q725">
        <v>4239</v>
      </c>
      <c r="R725">
        <v>8</v>
      </c>
      <c r="S725" t="s">
        <v>347</v>
      </c>
      <c r="T725" t="s">
        <v>348</v>
      </c>
      <c r="U725">
        <v>2004</v>
      </c>
      <c r="V725">
        <v>6562</v>
      </c>
    </row>
    <row r="726" spans="17:22">
      <c r="Q726">
        <v>4239</v>
      </c>
      <c r="R726">
        <v>8</v>
      </c>
      <c r="S726" t="s">
        <v>347</v>
      </c>
      <c r="T726" t="s">
        <v>348</v>
      </c>
      <c r="U726">
        <v>2005</v>
      </c>
      <c r="V726">
        <v>6859</v>
      </c>
    </row>
    <row r="727" spans="17:22">
      <c r="Q727">
        <v>4239</v>
      </c>
      <c r="R727">
        <v>8</v>
      </c>
      <c r="S727" t="s">
        <v>347</v>
      </c>
      <c r="T727" t="s">
        <v>348</v>
      </c>
      <c r="U727">
        <v>2006</v>
      </c>
      <c r="V727">
        <v>6929</v>
      </c>
    </row>
    <row r="728" spans="17:22">
      <c r="Q728">
        <v>4239</v>
      </c>
      <c r="R728">
        <v>8</v>
      </c>
      <c r="S728" t="s">
        <v>347</v>
      </c>
      <c r="T728" t="s">
        <v>348</v>
      </c>
      <c r="U728">
        <v>2007</v>
      </c>
      <c r="V728">
        <v>7008</v>
      </c>
    </row>
    <row r="729" spans="17:22">
      <c r="Q729">
        <v>4239</v>
      </c>
      <c r="R729">
        <v>8</v>
      </c>
      <c r="S729" t="s">
        <v>347</v>
      </c>
      <c r="T729" t="s">
        <v>348</v>
      </c>
      <c r="U729">
        <v>2008</v>
      </c>
      <c r="V729">
        <v>7058</v>
      </c>
    </row>
    <row r="730" spans="17:22">
      <c r="Q730">
        <v>4239</v>
      </c>
      <c r="R730">
        <v>8</v>
      </c>
      <c r="S730" t="s">
        <v>347</v>
      </c>
      <c r="T730" t="s">
        <v>348</v>
      </c>
      <c r="U730">
        <v>2009</v>
      </c>
      <c r="V730">
        <v>6144</v>
      </c>
    </row>
    <row r="731" spans="17:22">
      <c r="Q731">
        <v>4239</v>
      </c>
      <c r="R731">
        <v>8</v>
      </c>
      <c r="S731" t="s">
        <v>347</v>
      </c>
      <c r="T731" t="s">
        <v>348</v>
      </c>
      <c r="U731">
        <v>2010</v>
      </c>
      <c r="V731">
        <v>6461</v>
      </c>
    </row>
    <row r="732" spans="17:22">
      <c r="Q732">
        <v>4239</v>
      </c>
      <c r="R732">
        <v>8</v>
      </c>
      <c r="S732" t="s">
        <v>347</v>
      </c>
      <c r="T732" t="s">
        <v>348</v>
      </c>
      <c r="U732">
        <v>2011</v>
      </c>
      <c r="V732">
        <v>7006</v>
      </c>
    </row>
    <row r="733" spans="17:22">
      <c r="Q733">
        <v>4239</v>
      </c>
      <c r="R733">
        <v>8</v>
      </c>
      <c r="S733" t="s">
        <v>347</v>
      </c>
      <c r="T733" t="s">
        <v>348</v>
      </c>
      <c r="U733">
        <v>2012</v>
      </c>
      <c r="V733">
        <v>7468</v>
      </c>
    </row>
    <row r="734" spans="17:22">
      <c r="Q734">
        <v>4239</v>
      </c>
      <c r="R734">
        <v>8</v>
      </c>
      <c r="S734" t="s">
        <v>347</v>
      </c>
      <c r="T734" t="s">
        <v>348</v>
      </c>
      <c r="U734">
        <v>2013</v>
      </c>
      <c r="V734">
        <v>7458</v>
      </c>
    </row>
    <row r="735" spans="17:22">
      <c r="Q735">
        <v>4239</v>
      </c>
      <c r="R735">
        <v>8</v>
      </c>
      <c r="S735" t="s">
        <v>347</v>
      </c>
      <c r="T735" t="s">
        <v>348</v>
      </c>
      <c r="U735">
        <v>2014</v>
      </c>
      <c r="V735">
        <v>7555</v>
      </c>
    </row>
    <row r="736" spans="17:22">
      <c r="Q736">
        <v>4239</v>
      </c>
      <c r="R736">
        <v>8</v>
      </c>
      <c r="S736" t="s">
        <v>347</v>
      </c>
      <c r="T736" t="s">
        <v>348</v>
      </c>
      <c r="U736">
        <v>2015</v>
      </c>
      <c r="V736">
        <v>7409</v>
      </c>
    </row>
    <row r="737" spans="17:22">
      <c r="Q737">
        <v>4239</v>
      </c>
      <c r="R737">
        <v>8</v>
      </c>
      <c r="S737" t="s">
        <v>347</v>
      </c>
      <c r="T737" t="s">
        <v>348</v>
      </c>
      <c r="U737">
        <v>2016</v>
      </c>
      <c r="V737">
        <v>7263</v>
      </c>
    </row>
    <row r="738" spans="17:22">
      <c r="Q738">
        <v>4239</v>
      </c>
      <c r="R738">
        <v>8</v>
      </c>
      <c r="S738" t="s">
        <v>347</v>
      </c>
      <c r="T738" t="s">
        <v>348</v>
      </c>
      <c r="U738">
        <v>2017</v>
      </c>
      <c r="V738">
        <v>7557</v>
      </c>
    </row>
    <row r="739" spans="17:22">
      <c r="Q739">
        <v>4239</v>
      </c>
      <c r="R739">
        <v>8</v>
      </c>
      <c r="S739" t="s">
        <v>347</v>
      </c>
      <c r="T739" t="s">
        <v>348</v>
      </c>
      <c r="U739">
        <v>2018</v>
      </c>
      <c r="V739">
        <v>7792</v>
      </c>
    </row>
    <row r="740" spans="17:22">
      <c r="Q740">
        <v>4239</v>
      </c>
      <c r="R740">
        <v>8</v>
      </c>
      <c r="S740" t="s">
        <v>347</v>
      </c>
      <c r="T740" t="s">
        <v>348</v>
      </c>
      <c r="U740">
        <v>2019</v>
      </c>
      <c r="V740">
        <v>7737</v>
      </c>
    </row>
    <row r="741" spans="17:22">
      <c r="Q741">
        <v>4239</v>
      </c>
      <c r="R741">
        <v>8</v>
      </c>
      <c r="S741" t="s">
        <v>347</v>
      </c>
      <c r="T741" t="s">
        <v>348</v>
      </c>
      <c r="U741">
        <v>2020</v>
      </c>
      <c r="V741">
        <v>7019</v>
      </c>
    </row>
    <row r="742" spans="17:22">
      <c r="Q742">
        <v>4239</v>
      </c>
      <c r="R742">
        <v>8</v>
      </c>
      <c r="S742" t="s">
        <v>347</v>
      </c>
      <c r="T742" t="s">
        <v>348</v>
      </c>
      <c r="U742">
        <v>2021</v>
      </c>
      <c r="V742">
        <v>7625</v>
      </c>
    </row>
    <row r="743" spans="17:22">
      <c r="Q743">
        <v>4239</v>
      </c>
      <c r="R743">
        <v>8</v>
      </c>
      <c r="S743" t="s">
        <v>347</v>
      </c>
      <c r="T743" t="s">
        <v>348</v>
      </c>
      <c r="U743">
        <v>2022</v>
      </c>
      <c r="V743">
        <v>8447</v>
      </c>
    </row>
    <row r="744" spans="17:22">
      <c r="Q744">
        <v>4239</v>
      </c>
      <c r="R744">
        <v>8</v>
      </c>
      <c r="S744" t="s">
        <v>347</v>
      </c>
      <c r="T744" t="s">
        <v>348</v>
      </c>
      <c r="U744">
        <v>2023</v>
      </c>
      <c r="V744">
        <v>8805</v>
      </c>
    </row>
    <row r="745" spans="17:22">
      <c r="Q745">
        <v>4239</v>
      </c>
      <c r="R745">
        <v>8</v>
      </c>
      <c r="S745" t="s">
        <v>347</v>
      </c>
      <c r="T745" t="s">
        <v>348</v>
      </c>
      <c r="U745">
        <v>2024</v>
      </c>
      <c r="V745">
        <v>8732</v>
      </c>
    </row>
    <row r="746" spans="17:22">
      <c r="Q746">
        <v>4247</v>
      </c>
      <c r="R746">
        <v>8</v>
      </c>
      <c r="S746" t="s">
        <v>347</v>
      </c>
      <c r="T746" t="s">
        <v>348</v>
      </c>
      <c r="U746">
        <v>2001</v>
      </c>
      <c r="V746">
        <v>3190</v>
      </c>
    </row>
    <row r="747" spans="17:22">
      <c r="Q747">
        <v>4247</v>
      </c>
      <c r="R747">
        <v>8</v>
      </c>
      <c r="S747" t="s">
        <v>347</v>
      </c>
      <c r="T747" t="s">
        <v>348</v>
      </c>
      <c r="U747">
        <v>2002</v>
      </c>
      <c r="V747">
        <v>3097</v>
      </c>
    </row>
    <row r="748" spans="17:22">
      <c r="Q748">
        <v>4247</v>
      </c>
      <c r="R748">
        <v>8</v>
      </c>
      <c r="S748" t="s">
        <v>347</v>
      </c>
      <c r="T748" t="s">
        <v>348</v>
      </c>
      <c r="U748">
        <v>2003</v>
      </c>
      <c r="V748">
        <v>3074</v>
      </c>
    </row>
    <row r="749" spans="17:22">
      <c r="Q749">
        <v>4247</v>
      </c>
      <c r="R749">
        <v>8</v>
      </c>
      <c r="S749" t="s">
        <v>347</v>
      </c>
      <c r="T749" t="s">
        <v>348</v>
      </c>
      <c r="U749">
        <v>2004</v>
      </c>
      <c r="V749">
        <v>2889</v>
      </c>
    </row>
    <row r="750" spans="17:22">
      <c r="Q750">
        <v>4247</v>
      </c>
      <c r="R750">
        <v>8</v>
      </c>
      <c r="S750" t="s">
        <v>347</v>
      </c>
      <c r="T750" t="s">
        <v>348</v>
      </c>
      <c r="U750">
        <v>2005</v>
      </c>
      <c r="V750">
        <v>2915</v>
      </c>
    </row>
    <row r="751" spans="17:22">
      <c r="Q751">
        <v>4247</v>
      </c>
      <c r="R751">
        <v>8</v>
      </c>
      <c r="S751" t="s">
        <v>347</v>
      </c>
      <c r="T751" t="s">
        <v>348</v>
      </c>
      <c r="U751">
        <v>2006</v>
      </c>
      <c r="V751">
        <v>2931</v>
      </c>
    </row>
    <row r="752" spans="17:22">
      <c r="Q752">
        <v>4247</v>
      </c>
      <c r="R752">
        <v>8</v>
      </c>
      <c r="S752" t="s">
        <v>347</v>
      </c>
      <c r="T752" t="s">
        <v>348</v>
      </c>
      <c r="U752">
        <v>2007</v>
      </c>
      <c r="V752">
        <v>2805</v>
      </c>
    </row>
    <row r="753" spans="17:22">
      <c r="Q753">
        <v>4247</v>
      </c>
      <c r="R753">
        <v>8</v>
      </c>
      <c r="S753" t="s">
        <v>347</v>
      </c>
      <c r="T753" t="s">
        <v>348</v>
      </c>
      <c r="U753">
        <v>2008</v>
      </c>
      <c r="V753">
        <v>2711</v>
      </c>
    </row>
    <row r="754" spans="17:22">
      <c r="Q754">
        <v>4247</v>
      </c>
      <c r="R754">
        <v>8</v>
      </c>
      <c r="S754" t="s">
        <v>347</v>
      </c>
      <c r="T754" t="s">
        <v>348</v>
      </c>
      <c r="U754">
        <v>2009</v>
      </c>
      <c r="V754">
        <v>2672</v>
      </c>
    </row>
    <row r="755" spans="17:22">
      <c r="Q755">
        <v>4247</v>
      </c>
      <c r="R755">
        <v>8</v>
      </c>
      <c r="S755" t="s">
        <v>347</v>
      </c>
      <c r="T755" t="s">
        <v>348</v>
      </c>
      <c r="U755">
        <v>2010</v>
      </c>
      <c r="V755">
        <v>2642</v>
      </c>
    </row>
    <row r="756" spans="17:22">
      <c r="Q756">
        <v>4247</v>
      </c>
      <c r="R756">
        <v>8</v>
      </c>
      <c r="S756" t="s">
        <v>347</v>
      </c>
      <c r="T756" t="s">
        <v>348</v>
      </c>
      <c r="U756">
        <v>2011</v>
      </c>
      <c r="V756">
        <v>2707</v>
      </c>
    </row>
    <row r="757" spans="17:22">
      <c r="Q757">
        <v>4247</v>
      </c>
      <c r="R757">
        <v>8</v>
      </c>
      <c r="S757" t="s">
        <v>347</v>
      </c>
      <c r="T757" t="s">
        <v>348</v>
      </c>
      <c r="U757">
        <v>2012</v>
      </c>
      <c r="V757">
        <v>2759</v>
      </c>
    </row>
    <row r="758" spans="17:22">
      <c r="Q758">
        <v>4247</v>
      </c>
      <c r="R758">
        <v>8</v>
      </c>
      <c r="S758" t="s">
        <v>347</v>
      </c>
      <c r="T758" t="s">
        <v>348</v>
      </c>
      <c r="U758">
        <v>2013</v>
      </c>
      <c r="V758">
        <v>2716</v>
      </c>
    </row>
    <row r="759" spans="17:22">
      <c r="Q759">
        <v>4247</v>
      </c>
      <c r="R759">
        <v>8</v>
      </c>
      <c r="S759" t="s">
        <v>347</v>
      </c>
      <c r="T759" t="s">
        <v>348</v>
      </c>
      <c r="U759">
        <v>2014</v>
      </c>
      <c r="V759">
        <v>2787</v>
      </c>
    </row>
    <row r="760" spans="17:22">
      <c r="Q760">
        <v>4247</v>
      </c>
      <c r="R760">
        <v>8</v>
      </c>
      <c r="S760" t="s">
        <v>347</v>
      </c>
      <c r="T760" t="s">
        <v>348</v>
      </c>
      <c r="U760">
        <v>2015</v>
      </c>
      <c r="V760">
        <v>2968</v>
      </c>
    </row>
    <row r="761" spans="17:22">
      <c r="Q761">
        <v>4247</v>
      </c>
      <c r="R761">
        <v>8</v>
      </c>
      <c r="S761" t="s">
        <v>347</v>
      </c>
      <c r="T761" t="s">
        <v>348</v>
      </c>
      <c r="U761">
        <v>2016</v>
      </c>
      <c r="V761">
        <v>2960</v>
      </c>
    </row>
    <row r="762" spans="17:22">
      <c r="Q762">
        <v>4247</v>
      </c>
      <c r="R762">
        <v>8</v>
      </c>
      <c r="S762" t="s">
        <v>347</v>
      </c>
      <c r="T762" t="s">
        <v>348</v>
      </c>
      <c r="U762">
        <v>2017</v>
      </c>
      <c r="V762">
        <v>3334</v>
      </c>
    </row>
    <row r="763" spans="17:22">
      <c r="Q763">
        <v>4247</v>
      </c>
      <c r="R763">
        <v>8</v>
      </c>
      <c r="S763" t="s">
        <v>347</v>
      </c>
      <c r="T763" t="s">
        <v>348</v>
      </c>
      <c r="U763">
        <v>2018</v>
      </c>
      <c r="V763">
        <v>3442</v>
      </c>
    </row>
    <row r="764" spans="17:22">
      <c r="Q764">
        <v>4247</v>
      </c>
      <c r="R764">
        <v>8</v>
      </c>
      <c r="S764" t="s">
        <v>347</v>
      </c>
      <c r="T764" t="s">
        <v>348</v>
      </c>
      <c r="U764">
        <v>2019</v>
      </c>
      <c r="V764">
        <v>3529</v>
      </c>
    </row>
    <row r="765" spans="17:22">
      <c r="Q765">
        <v>4247</v>
      </c>
      <c r="R765">
        <v>8</v>
      </c>
      <c r="S765" t="s">
        <v>347</v>
      </c>
      <c r="T765" t="s">
        <v>348</v>
      </c>
      <c r="U765">
        <v>2020</v>
      </c>
      <c r="V765">
        <v>3423</v>
      </c>
    </row>
    <row r="766" spans="17:22">
      <c r="Q766">
        <v>4247</v>
      </c>
      <c r="R766">
        <v>8</v>
      </c>
      <c r="S766" t="s">
        <v>347</v>
      </c>
      <c r="T766" t="s">
        <v>348</v>
      </c>
      <c r="U766">
        <v>2021</v>
      </c>
      <c r="V766">
        <v>3481</v>
      </c>
    </row>
    <row r="767" spans="17:22">
      <c r="Q767">
        <v>4247</v>
      </c>
      <c r="R767">
        <v>8</v>
      </c>
      <c r="S767" t="s">
        <v>347</v>
      </c>
      <c r="T767" t="s">
        <v>348</v>
      </c>
      <c r="U767">
        <v>2022</v>
      </c>
      <c r="V767">
        <v>3686</v>
      </c>
    </row>
    <row r="768" spans="17:22">
      <c r="Q768">
        <v>4247</v>
      </c>
      <c r="R768">
        <v>8</v>
      </c>
      <c r="S768" t="s">
        <v>347</v>
      </c>
      <c r="T768" t="s">
        <v>348</v>
      </c>
      <c r="U768">
        <v>2023</v>
      </c>
      <c r="V768">
        <v>3855</v>
      </c>
    </row>
    <row r="769" spans="17:22">
      <c r="Q769">
        <v>4247</v>
      </c>
      <c r="R769">
        <v>8</v>
      </c>
      <c r="S769" t="s">
        <v>347</v>
      </c>
      <c r="T769" t="s">
        <v>348</v>
      </c>
      <c r="U769">
        <v>2024</v>
      </c>
      <c r="V769">
        <v>3846</v>
      </c>
    </row>
    <row r="770" spans="17:22">
      <c r="Q770">
        <v>4413</v>
      </c>
      <c r="R770">
        <v>8</v>
      </c>
      <c r="S770" t="s">
        <v>347</v>
      </c>
      <c r="T770" t="s">
        <v>348</v>
      </c>
      <c r="U770">
        <v>2001</v>
      </c>
      <c r="V770">
        <v>13540</v>
      </c>
    </row>
    <row r="771" spans="17:22">
      <c r="Q771">
        <v>4413</v>
      </c>
      <c r="R771">
        <v>8</v>
      </c>
      <c r="S771" t="s">
        <v>347</v>
      </c>
      <c r="T771" t="s">
        <v>348</v>
      </c>
      <c r="U771">
        <v>2002</v>
      </c>
      <c r="V771">
        <v>14431</v>
      </c>
    </row>
    <row r="772" spans="17:22">
      <c r="Q772">
        <v>4413</v>
      </c>
      <c r="R772">
        <v>8</v>
      </c>
      <c r="S772" t="s">
        <v>347</v>
      </c>
      <c r="T772" t="s">
        <v>348</v>
      </c>
      <c r="U772">
        <v>2003</v>
      </c>
      <c r="V772">
        <v>14244</v>
      </c>
    </row>
    <row r="773" spans="17:22">
      <c r="Q773">
        <v>4413</v>
      </c>
      <c r="R773">
        <v>8</v>
      </c>
      <c r="S773" t="s">
        <v>347</v>
      </c>
      <c r="T773" t="s">
        <v>348</v>
      </c>
      <c r="U773">
        <v>2004</v>
      </c>
      <c r="V773">
        <v>14136</v>
      </c>
    </row>
    <row r="774" spans="17:22">
      <c r="Q774">
        <v>4413</v>
      </c>
      <c r="R774">
        <v>8</v>
      </c>
      <c r="S774" t="s">
        <v>347</v>
      </c>
      <c r="T774" t="s">
        <v>348</v>
      </c>
      <c r="U774">
        <v>2005</v>
      </c>
      <c r="V774">
        <v>13778</v>
      </c>
    </row>
    <row r="775" spans="17:22">
      <c r="Q775">
        <v>4413</v>
      </c>
      <c r="R775">
        <v>8</v>
      </c>
      <c r="S775" t="s">
        <v>347</v>
      </c>
      <c r="T775" t="s">
        <v>348</v>
      </c>
      <c r="U775">
        <v>2006</v>
      </c>
      <c r="V775">
        <v>13224</v>
      </c>
    </row>
    <row r="776" spans="17:22">
      <c r="Q776">
        <v>4413</v>
      </c>
      <c r="R776">
        <v>8</v>
      </c>
      <c r="S776" t="s">
        <v>347</v>
      </c>
      <c r="T776" t="s">
        <v>348</v>
      </c>
      <c r="U776">
        <v>2007</v>
      </c>
      <c r="V776">
        <v>13006</v>
      </c>
    </row>
    <row r="777" spans="17:22">
      <c r="Q777">
        <v>4413</v>
      </c>
      <c r="R777">
        <v>8</v>
      </c>
      <c r="S777" t="s">
        <v>347</v>
      </c>
      <c r="T777" t="s">
        <v>348</v>
      </c>
      <c r="U777">
        <v>2008</v>
      </c>
      <c r="V777">
        <v>13036</v>
      </c>
    </row>
    <row r="778" spans="17:22">
      <c r="Q778">
        <v>4413</v>
      </c>
      <c r="R778">
        <v>8</v>
      </c>
      <c r="S778" t="s">
        <v>347</v>
      </c>
      <c r="T778" t="s">
        <v>348</v>
      </c>
      <c r="U778">
        <v>2009</v>
      </c>
      <c r="V778">
        <v>13018</v>
      </c>
    </row>
    <row r="779" spans="17:22">
      <c r="Q779">
        <v>4413</v>
      </c>
      <c r="R779">
        <v>8</v>
      </c>
      <c r="S779" t="s">
        <v>347</v>
      </c>
      <c r="T779" t="s">
        <v>348</v>
      </c>
      <c r="U779">
        <v>2010</v>
      </c>
      <c r="V779">
        <v>14658</v>
      </c>
    </row>
    <row r="780" spans="17:22">
      <c r="Q780">
        <v>4413</v>
      </c>
      <c r="R780">
        <v>8</v>
      </c>
      <c r="S780" t="s">
        <v>347</v>
      </c>
      <c r="T780" t="s">
        <v>348</v>
      </c>
      <c r="U780">
        <v>2011</v>
      </c>
      <c r="V780">
        <v>15135</v>
      </c>
    </row>
    <row r="781" spans="17:22">
      <c r="Q781">
        <v>4413</v>
      </c>
      <c r="R781">
        <v>8</v>
      </c>
      <c r="S781" t="s">
        <v>347</v>
      </c>
      <c r="T781" t="s">
        <v>348</v>
      </c>
      <c r="U781">
        <v>2012</v>
      </c>
      <c r="V781">
        <v>15808</v>
      </c>
    </row>
    <row r="782" spans="17:22">
      <c r="Q782">
        <v>4413</v>
      </c>
      <c r="R782">
        <v>8</v>
      </c>
      <c r="S782" t="s">
        <v>347</v>
      </c>
      <c r="T782" t="s">
        <v>348</v>
      </c>
      <c r="U782">
        <v>2013</v>
      </c>
      <c r="V782">
        <v>16435</v>
      </c>
    </row>
    <row r="783" spans="17:22">
      <c r="Q783">
        <v>4413</v>
      </c>
      <c r="R783">
        <v>8</v>
      </c>
      <c r="S783" t="s">
        <v>347</v>
      </c>
      <c r="T783" t="s">
        <v>348</v>
      </c>
      <c r="U783">
        <v>2014</v>
      </c>
      <c r="V783">
        <v>17049</v>
      </c>
    </row>
    <row r="784" spans="17:22">
      <c r="Q784">
        <v>4413</v>
      </c>
      <c r="R784">
        <v>8</v>
      </c>
      <c r="S784" t="s">
        <v>347</v>
      </c>
      <c r="T784" t="s">
        <v>348</v>
      </c>
      <c r="U784">
        <v>2015</v>
      </c>
      <c r="V784">
        <v>17572</v>
      </c>
    </row>
    <row r="785" spans="17:22">
      <c r="Q785">
        <v>4413</v>
      </c>
      <c r="R785">
        <v>8</v>
      </c>
      <c r="S785" t="s">
        <v>347</v>
      </c>
      <c r="T785" t="s">
        <v>348</v>
      </c>
      <c r="U785">
        <v>2016</v>
      </c>
      <c r="V785">
        <v>17729</v>
      </c>
    </row>
    <row r="786" spans="17:22">
      <c r="Q786">
        <v>4413</v>
      </c>
      <c r="R786">
        <v>8</v>
      </c>
      <c r="S786" t="s">
        <v>347</v>
      </c>
      <c r="T786" t="s">
        <v>348</v>
      </c>
      <c r="U786">
        <v>2017</v>
      </c>
      <c r="V786">
        <v>17346</v>
      </c>
    </row>
    <row r="787" spans="17:22">
      <c r="Q787">
        <v>4413</v>
      </c>
      <c r="R787">
        <v>8</v>
      </c>
      <c r="S787" t="s">
        <v>347</v>
      </c>
      <c r="T787" t="s">
        <v>348</v>
      </c>
      <c r="U787">
        <v>2018</v>
      </c>
      <c r="V787">
        <v>17572</v>
      </c>
    </row>
    <row r="788" spans="17:22">
      <c r="Q788">
        <v>4413</v>
      </c>
      <c r="R788">
        <v>8</v>
      </c>
      <c r="S788" t="s">
        <v>347</v>
      </c>
      <c r="T788" t="s">
        <v>348</v>
      </c>
      <c r="U788">
        <v>2019</v>
      </c>
      <c r="V788">
        <v>17717</v>
      </c>
    </row>
    <row r="789" spans="17:22">
      <c r="Q789">
        <v>4413</v>
      </c>
      <c r="R789">
        <v>8</v>
      </c>
      <c r="S789" t="s">
        <v>347</v>
      </c>
      <c r="T789" t="s">
        <v>348</v>
      </c>
      <c r="U789">
        <v>2020</v>
      </c>
      <c r="V789">
        <v>16380</v>
      </c>
    </row>
    <row r="790" spans="17:22">
      <c r="Q790">
        <v>4413</v>
      </c>
      <c r="R790">
        <v>8</v>
      </c>
      <c r="S790" t="s">
        <v>347</v>
      </c>
      <c r="T790" t="s">
        <v>348</v>
      </c>
      <c r="U790">
        <v>2021</v>
      </c>
      <c r="V790">
        <v>16774</v>
      </c>
    </row>
    <row r="791" spans="17:22">
      <c r="Q791">
        <v>4413</v>
      </c>
      <c r="R791">
        <v>8</v>
      </c>
      <c r="S791" t="s">
        <v>347</v>
      </c>
      <c r="T791" t="s">
        <v>348</v>
      </c>
      <c r="U791">
        <v>2022</v>
      </c>
      <c r="V791">
        <v>17753</v>
      </c>
    </row>
    <row r="792" spans="17:22">
      <c r="Q792">
        <v>4413</v>
      </c>
      <c r="R792">
        <v>8</v>
      </c>
      <c r="S792" t="s">
        <v>347</v>
      </c>
      <c r="T792" t="s">
        <v>348</v>
      </c>
      <c r="U792">
        <v>2023</v>
      </c>
      <c r="V792">
        <v>18165</v>
      </c>
    </row>
    <row r="793" spans="17:22">
      <c r="Q793">
        <v>4413</v>
      </c>
      <c r="R793">
        <v>8</v>
      </c>
      <c r="S793" t="s">
        <v>347</v>
      </c>
      <c r="T793" t="s">
        <v>348</v>
      </c>
      <c r="U793">
        <v>2024</v>
      </c>
      <c r="V793">
        <v>18192</v>
      </c>
    </row>
    <row r="794" spans="17:22">
      <c r="Q794">
        <v>4571</v>
      </c>
      <c r="R794">
        <v>8</v>
      </c>
      <c r="S794" t="s">
        <v>347</v>
      </c>
      <c r="T794" t="s">
        <v>348</v>
      </c>
      <c r="U794">
        <v>2001</v>
      </c>
      <c r="V794">
        <v>30203.176498412999</v>
      </c>
    </row>
    <row r="795" spans="17:22">
      <c r="Q795">
        <v>4571</v>
      </c>
      <c r="R795">
        <v>8</v>
      </c>
      <c r="S795" t="s">
        <v>347</v>
      </c>
      <c r="T795" t="s">
        <v>348</v>
      </c>
      <c r="U795">
        <v>2002</v>
      </c>
      <c r="V795">
        <v>28608.727773030601</v>
      </c>
    </row>
    <row r="796" spans="17:22">
      <c r="Q796">
        <v>4571</v>
      </c>
      <c r="R796">
        <v>8</v>
      </c>
      <c r="S796" t="s">
        <v>347</v>
      </c>
      <c r="T796" t="s">
        <v>348</v>
      </c>
      <c r="U796">
        <v>2003</v>
      </c>
      <c r="V796">
        <v>27283.9299837748</v>
      </c>
    </row>
    <row r="797" spans="17:22">
      <c r="Q797">
        <v>4571</v>
      </c>
      <c r="R797">
        <v>8</v>
      </c>
      <c r="S797" t="s">
        <v>347</v>
      </c>
      <c r="T797" t="s">
        <v>348</v>
      </c>
      <c r="U797">
        <v>2004</v>
      </c>
      <c r="V797">
        <v>25912.402788798001</v>
      </c>
    </row>
    <row r="798" spans="17:22">
      <c r="Q798">
        <v>4571</v>
      </c>
      <c r="R798">
        <v>8</v>
      </c>
      <c r="S798" t="s">
        <v>347</v>
      </c>
      <c r="T798" t="s">
        <v>348</v>
      </c>
      <c r="U798">
        <v>2005</v>
      </c>
      <c r="V798">
        <v>25841.066996256501</v>
      </c>
    </row>
    <row r="799" spans="17:22">
      <c r="Q799">
        <v>4571</v>
      </c>
      <c r="R799">
        <v>8</v>
      </c>
      <c r="S799" t="s">
        <v>347</v>
      </c>
      <c r="T799" t="s">
        <v>348</v>
      </c>
      <c r="U799">
        <v>2006</v>
      </c>
      <c r="V799">
        <v>25452.0743687947</v>
      </c>
    </row>
    <row r="800" spans="17:22">
      <c r="Q800">
        <v>4571</v>
      </c>
      <c r="R800">
        <v>8</v>
      </c>
      <c r="S800" t="s">
        <v>347</v>
      </c>
      <c r="T800" t="s">
        <v>348</v>
      </c>
      <c r="U800">
        <v>2007</v>
      </c>
      <c r="V800">
        <v>24617.685000101701</v>
      </c>
    </row>
    <row r="801" spans="17:22">
      <c r="Q801">
        <v>4571</v>
      </c>
      <c r="R801">
        <v>8</v>
      </c>
      <c r="S801" t="s">
        <v>347</v>
      </c>
      <c r="T801" t="s">
        <v>348</v>
      </c>
      <c r="U801">
        <v>2008</v>
      </c>
      <c r="V801">
        <v>24319.592952728199</v>
      </c>
    </row>
    <row r="802" spans="17:22">
      <c r="Q802">
        <v>4571</v>
      </c>
      <c r="R802">
        <v>8</v>
      </c>
      <c r="S802" t="s">
        <v>347</v>
      </c>
      <c r="T802" t="s">
        <v>348</v>
      </c>
      <c r="U802">
        <v>2009</v>
      </c>
      <c r="V802">
        <v>23293.2303746541</v>
      </c>
    </row>
    <row r="803" spans="17:22">
      <c r="Q803">
        <v>4571</v>
      </c>
      <c r="R803">
        <v>8</v>
      </c>
      <c r="S803" t="s">
        <v>347</v>
      </c>
      <c r="T803" t="s">
        <v>348</v>
      </c>
      <c r="U803">
        <v>2010</v>
      </c>
      <c r="V803">
        <v>23871.8125025431</v>
      </c>
    </row>
    <row r="804" spans="17:22">
      <c r="Q804">
        <v>4571</v>
      </c>
      <c r="R804">
        <v>8</v>
      </c>
      <c r="S804" t="s">
        <v>347</v>
      </c>
      <c r="T804" t="s">
        <v>348</v>
      </c>
      <c r="U804">
        <v>2011</v>
      </c>
      <c r="V804">
        <v>24173.6108462015</v>
      </c>
    </row>
    <row r="805" spans="17:22">
      <c r="Q805">
        <v>4571</v>
      </c>
      <c r="R805">
        <v>8</v>
      </c>
      <c r="S805" t="s">
        <v>347</v>
      </c>
      <c r="T805" t="s">
        <v>348</v>
      </c>
      <c r="U805">
        <v>2012</v>
      </c>
      <c r="V805">
        <v>23698.290665944402</v>
      </c>
    </row>
    <row r="806" spans="17:22">
      <c r="Q806">
        <v>4571</v>
      </c>
      <c r="R806">
        <v>8</v>
      </c>
      <c r="S806" t="s">
        <v>347</v>
      </c>
      <c r="T806" t="s">
        <v>348</v>
      </c>
      <c r="U806">
        <v>2013</v>
      </c>
      <c r="V806">
        <v>24654.9054781595</v>
      </c>
    </row>
    <row r="807" spans="17:22">
      <c r="Q807">
        <v>4571</v>
      </c>
      <c r="R807">
        <v>8</v>
      </c>
      <c r="S807" t="s">
        <v>347</v>
      </c>
      <c r="T807" t="s">
        <v>348</v>
      </c>
      <c r="U807">
        <v>2014</v>
      </c>
      <c r="V807">
        <v>25688.887278238901</v>
      </c>
    </row>
    <row r="808" spans="17:22">
      <c r="Q808">
        <v>4571</v>
      </c>
      <c r="R808">
        <v>8</v>
      </c>
      <c r="S808" t="s">
        <v>347</v>
      </c>
      <c r="T808" t="s">
        <v>348</v>
      </c>
      <c r="U808">
        <v>2015</v>
      </c>
      <c r="V808">
        <v>26382.716973622599</v>
      </c>
    </row>
    <row r="809" spans="17:22">
      <c r="Q809">
        <v>4571</v>
      </c>
      <c r="R809">
        <v>8</v>
      </c>
      <c r="S809" t="s">
        <v>347</v>
      </c>
      <c r="T809" t="s">
        <v>348</v>
      </c>
      <c r="U809">
        <v>2016</v>
      </c>
      <c r="V809">
        <v>26558.185895284001</v>
      </c>
    </row>
    <row r="810" spans="17:22">
      <c r="Q810">
        <v>4571</v>
      </c>
      <c r="R810">
        <v>8</v>
      </c>
      <c r="S810" t="s">
        <v>347</v>
      </c>
      <c r="T810" t="s">
        <v>348</v>
      </c>
      <c r="U810">
        <v>2017</v>
      </c>
      <c r="V810">
        <v>27039.930184682202</v>
      </c>
    </row>
    <row r="811" spans="17:22">
      <c r="Q811">
        <v>4571</v>
      </c>
      <c r="R811">
        <v>8</v>
      </c>
      <c r="S811" t="s">
        <v>347</v>
      </c>
      <c r="T811" t="s">
        <v>348</v>
      </c>
      <c r="U811">
        <v>2018</v>
      </c>
      <c r="V811">
        <v>27341.077804565401</v>
      </c>
    </row>
    <row r="812" spans="17:22">
      <c r="Q812">
        <v>4571</v>
      </c>
      <c r="R812">
        <v>8</v>
      </c>
      <c r="S812" t="s">
        <v>347</v>
      </c>
      <c r="T812" t="s">
        <v>348</v>
      </c>
      <c r="U812">
        <v>2019</v>
      </c>
      <c r="V812">
        <v>27625.665664672801</v>
      </c>
    </row>
    <row r="813" spans="17:22">
      <c r="Q813">
        <v>4571</v>
      </c>
      <c r="R813">
        <v>8</v>
      </c>
      <c r="S813" t="s">
        <v>347</v>
      </c>
      <c r="T813" t="s">
        <v>348</v>
      </c>
      <c r="U813">
        <v>2020</v>
      </c>
      <c r="V813">
        <v>25686.235427856402</v>
      </c>
    </row>
    <row r="814" spans="17:22">
      <c r="Q814">
        <v>4571</v>
      </c>
      <c r="R814">
        <v>8</v>
      </c>
      <c r="S814" t="s">
        <v>347</v>
      </c>
      <c r="T814" t="s">
        <v>348</v>
      </c>
      <c r="U814">
        <v>2021</v>
      </c>
      <c r="V814">
        <v>25409.6236228942</v>
      </c>
    </row>
    <row r="815" spans="17:22">
      <c r="Q815">
        <v>4571</v>
      </c>
      <c r="R815">
        <v>8</v>
      </c>
      <c r="S815" t="s">
        <v>347</v>
      </c>
      <c r="T815" t="s">
        <v>348</v>
      </c>
      <c r="U815">
        <v>2022</v>
      </c>
      <c r="V815">
        <v>26719</v>
      </c>
    </row>
    <row r="816" spans="17:22">
      <c r="Q816">
        <v>4571</v>
      </c>
      <c r="R816">
        <v>8</v>
      </c>
      <c r="S816" t="s">
        <v>347</v>
      </c>
      <c r="T816" t="s">
        <v>348</v>
      </c>
      <c r="U816">
        <v>2023</v>
      </c>
      <c r="V816">
        <v>27545</v>
      </c>
    </row>
    <row r="817" spans="17:22">
      <c r="Q817">
        <v>4571</v>
      </c>
      <c r="R817">
        <v>8</v>
      </c>
      <c r="S817" t="s">
        <v>347</v>
      </c>
      <c r="T817" t="s">
        <v>348</v>
      </c>
      <c r="U817">
        <v>2024</v>
      </c>
      <c r="V817">
        <v>27826</v>
      </c>
    </row>
    <row r="818" spans="17:22">
      <c r="Q818">
        <v>4411</v>
      </c>
      <c r="R818">
        <v>9</v>
      </c>
      <c r="S818" t="s">
        <v>354</v>
      </c>
      <c r="T818" t="s">
        <v>348</v>
      </c>
      <c r="U818">
        <v>2001</v>
      </c>
      <c r="V818">
        <v>42508</v>
      </c>
    </row>
    <row r="819" spans="17:22">
      <c r="Q819">
        <v>4411</v>
      </c>
      <c r="R819">
        <v>9</v>
      </c>
      <c r="S819" t="s">
        <v>354</v>
      </c>
      <c r="T819" t="s">
        <v>348</v>
      </c>
      <c r="U819">
        <v>2002</v>
      </c>
      <c r="V819">
        <v>43335</v>
      </c>
    </row>
    <row r="820" spans="17:22">
      <c r="Q820">
        <v>4411</v>
      </c>
      <c r="R820">
        <v>9</v>
      </c>
      <c r="S820" t="s">
        <v>354</v>
      </c>
      <c r="T820" t="s">
        <v>348</v>
      </c>
      <c r="U820">
        <v>2003</v>
      </c>
      <c r="V820">
        <v>42098</v>
      </c>
    </row>
    <row r="821" spans="17:22">
      <c r="Q821">
        <v>4411</v>
      </c>
      <c r="R821">
        <v>9</v>
      </c>
      <c r="S821" t="s">
        <v>354</v>
      </c>
      <c r="T821" t="s">
        <v>348</v>
      </c>
      <c r="U821">
        <v>2004</v>
      </c>
      <c r="V821">
        <v>41803</v>
      </c>
    </row>
    <row r="822" spans="17:22">
      <c r="Q822">
        <v>4411</v>
      </c>
      <c r="R822">
        <v>9</v>
      </c>
      <c r="S822" t="s">
        <v>354</v>
      </c>
      <c r="T822" t="s">
        <v>348</v>
      </c>
      <c r="U822">
        <v>2005</v>
      </c>
      <c r="V822">
        <v>41033</v>
      </c>
    </row>
    <row r="823" spans="17:22">
      <c r="Q823">
        <v>4411</v>
      </c>
      <c r="R823">
        <v>9</v>
      </c>
      <c r="S823" t="s">
        <v>354</v>
      </c>
      <c r="T823" t="s">
        <v>348</v>
      </c>
      <c r="U823">
        <v>2006</v>
      </c>
      <c r="V823">
        <v>39677</v>
      </c>
    </row>
    <row r="824" spans="17:22">
      <c r="Q824">
        <v>4411</v>
      </c>
      <c r="R824">
        <v>9</v>
      </c>
      <c r="S824" t="s">
        <v>354</v>
      </c>
      <c r="T824" t="s">
        <v>348</v>
      </c>
      <c r="U824">
        <v>2007</v>
      </c>
      <c r="V824">
        <v>38163</v>
      </c>
    </row>
    <row r="825" spans="17:22">
      <c r="Q825">
        <v>4411</v>
      </c>
      <c r="R825">
        <v>9</v>
      </c>
      <c r="S825" t="s">
        <v>354</v>
      </c>
      <c r="T825" t="s">
        <v>348</v>
      </c>
      <c r="U825">
        <v>2008</v>
      </c>
      <c r="V825">
        <v>36768</v>
      </c>
    </row>
    <row r="826" spans="17:22">
      <c r="Q826">
        <v>4411</v>
      </c>
      <c r="R826">
        <v>9</v>
      </c>
      <c r="S826" t="s">
        <v>354</v>
      </c>
      <c r="T826" t="s">
        <v>348</v>
      </c>
      <c r="U826">
        <v>2009</v>
      </c>
      <c r="V826">
        <v>33083</v>
      </c>
    </row>
    <row r="827" spans="17:22">
      <c r="Q827">
        <v>4411</v>
      </c>
      <c r="R827">
        <v>9</v>
      </c>
      <c r="S827" t="s">
        <v>354</v>
      </c>
      <c r="T827" t="s">
        <v>348</v>
      </c>
      <c r="U827">
        <v>2010</v>
      </c>
      <c r="V827">
        <v>31994</v>
      </c>
    </row>
    <row r="828" spans="17:22">
      <c r="Q828">
        <v>4411</v>
      </c>
      <c r="R828">
        <v>9</v>
      </c>
      <c r="S828" t="s">
        <v>354</v>
      </c>
      <c r="T828" t="s">
        <v>348</v>
      </c>
      <c r="U828">
        <v>2011</v>
      </c>
      <c r="V828">
        <v>32734</v>
      </c>
    </row>
    <row r="829" spans="17:22">
      <c r="Q829">
        <v>4411</v>
      </c>
      <c r="R829">
        <v>9</v>
      </c>
      <c r="S829" t="s">
        <v>354</v>
      </c>
      <c r="T829" t="s">
        <v>348</v>
      </c>
      <c r="U829">
        <v>2012</v>
      </c>
      <c r="V829">
        <v>33882</v>
      </c>
    </row>
    <row r="830" spans="17:22">
      <c r="Q830">
        <v>4411</v>
      </c>
      <c r="R830">
        <v>9</v>
      </c>
      <c r="S830" t="s">
        <v>354</v>
      </c>
      <c r="T830" t="s">
        <v>348</v>
      </c>
      <c r="U830">
        <v>2013</v>
      </c>
      <c r="V830">
        <v>34662</v>
      </c>
    </row>
    <row r="831" spans="17:22">
      <c r="Q831">
        <v>4411</v>
      </c>
      <c r="R831">
        <v>9</v>
      </c>
      <c r="S831" t="s">
        <v>354</v>
      </c>
      <c r="T831" t="s">
        <v>348</v>
      </c>
      <c r="U831">
        <v>2014</v>
      </c>
      <c r="V831">
        <v>36317</v>
      </c>
    </row>
    <row r="832" spans="17:22">
      <c r="Q832">
        <v>4411</v>
      </c>
      <c r="R832">
        <v>9</v>
      </c>
      <c r="S832" t="s">
        <v>354</v>
      </c>
      <c r="T832" t="s">
        <v>348</v>
      </c>
      <c r="U832">
        <v>2015</v>
      </c>
      <c r="V832">
        <v>38115</v>
      </c>
    </row>
    <row r="833" spans="17:22">
      <c r="Q833">
        <v>4411</v>
      </c>
      <c r="R833">
        <v>9</v>
      </c>
      <c r="S833" t="s">
        <v>354</v>
      </c>
      <c r="T833" t="s">
        <v>348</v>
      </c>
      <c r="U833">
        <v>2016</v>
      </c>
      <c r="V833">
        <v>39018</v>
      </c>
    </row>
    <row r="834" spans="17:22">
      <c r="Q834">
        <v>4411</v>
      </c>
      <c r="R834">
        <v>9</v>
      </c>
      <c r="S834" t="s">
        <v>354</v>
      </c>
      <c r="T834" t="s">
        <v>348</v>
      </c>
      <c r="U834">
        <v>2017</v>
      </c>
      <c r="V834">
        <v>39699</v>
      </c>
    </row>
    <row r="835" spans="17:22">
      <c r="Q835">
        <v>4411</v>
      </c>
      <c r="R835">
        <v>9</v>
      </c>
      <c r="S835" t="s">
        <v>354</v>
      </c>
      <c r="T835" t="s">
        <v>348</v>
      </c>
      <c r="U835">
        <v>2018</v>
      </c>
      <c r="V835">
        <v>39716</v>
      </c>
    </row>
    <row r="836" spans="17:22">
      <c r="Q836">
        <v>4411</v>
      </c>
      <c r="R836">
        <v>9</v>
      </c>
      <c r="S836" t="s">
        <v>354</v>
      </c>
      <c r="T836" t="s">
        <v>348</v>
      </c>
      <c r="U836">
        <v>2019</v>
      </c>
      <c r="V836">
        <v>39798</v>
      </c>
    </row>
    <row r="837" spans="17:22">
      <c r="Q837">
        <v>4411</v>
      </c>
      <c r="R837">
        <v>9</v>
      </c>
      <c r="S837" t="s">
        <v>354</v>
      </c>
      <c r="T837" t="s">
        <v>348</v>
      </c>
      <c r="U837">
        <v>2020</v>
      </c>
      <c r="V837">
        <v>36431</v>
      </c>
    </row>
    <row r="838" spans="17:22">
      <c r="Q838">
        <v>4411</v>
      </c>
      <c r="R838">
        <v>9</v>
      </c>
      <c r="S838" t="s">
        <v>354</v>
      </c>
      <c r="T838" t="s">
        <v>348</v>
      </c>
      <c r="U838">
        <v>2021</v>
      </c>
      <c r="V838">
        <v>37638</v>
      </c>
    </row>
    <row r="839" spans="17:22">
      <c r="Q839">
        <v>4411</v>
      </c>
      <c r="R839">
        <v>9</v>
      </c>
      <c r="S839" t="s">
        <v>354</v>
      </c>
      <c r="T839" t="s">
        <v>348</v>
      </c>
      <c r="U839">
        <v>2022</v>
      </c>
      <c r="V839">
        <v>37963</v>
      </c>
    </row>
    <row r="840" spans="17:22">
      <c r="Q840">
        <v>4411</v>
      </c>
      <c r="R840">
        <v>9</v>
      </c>
      <c r="S840" t="s">
        <v>354</v>
      </c>
      <c r="T840" t="s">
        <v>348</v>
      </c>
      <c r="U840">
        <v>2023</v>
      </c>
      <c r="V840">
        <v>38350</v>
      </c>
    </row>
    <row r="841" spans="17:22">
      <c r="Q841">
        <v>4411</v>
      </c>
      <c r="R841">
        <v>9</v>
      </c>
      <c r="S841" t="s">
        <v>354</v>
      </c>
      <c r="T841" t="s">
        <v>348</v>
      </c>
      <c r="U841">
        <v>2024</v>
      </c>
      <c r="V841">
        <v>38262</v>
      </c>
    </row>
    <row r="842" spans="17:22">
      <c r="Q842">
        <v>8111</v>
      </c>
      <c r="R842">
        <v>9</v>
      </c>
      <c r="S842" t="s">
        <v>354</v>
      </c>
      <c r="T842" t="s">
        <v>348</v>
      </c>
      <c r="U842">
        <v>2001</v>
      </c>
      <c r="V842">
        <v>33107</v>
      </c>
    </row>
    <row r="843" spans="17:22">
      <c r="Q843">
        <v>8111</v>
      </c>
      <c r="R843">
        <v>9</v>
      </c>
      <c r="S843" t="s">
        <v>354</v>
      </c>
      <c r="T843" t="s">
        <v>348</v>
      </c>
      <c r="U843">
        <v>2002</v>
      </c>
      <c r="V843">
        <v>33069</v>
      </c>
    </row>
    <row r="844" spans="17:22">
      <c r="Q844">
        <v>8111</v>
      </c>
      <c r="R844">
        <v>9</v>
      </c>
      <c r="S844" t="s">
        <v>354</v>
      </c>
      <c r="T844" t="s">
        <v>348</v>
      </c>
      <c r="U844">
        <v>2003</v>
      </c>
      <c r="V844">
        <v>32544</v>
      </c>
    </row>
    <row r="845" spans="17:22">
      <c r="Q845">
        <v>8111</v>
      </c>
      <c r="R845">
        <v>9</v>
      </c>
      <c r="S845" t="s">
        <v>354</v>
      </c>
      <c r="T845" t="s">
        <v>348</v>
      </c>
      <c r="U845">
        <v>2004</v>
      </c>
      <c r="V845">
        <v>32562</v>
      </c>
    </row>
    <row r="846" spans="17:22">
      <c r="Q846">
        <v>8111</v>
      </c>
      <c r="R846">
        <v>9</v>
      </c>
      <c r="S846" t="s">
        <v>354</v>
      </c>
      <c r="T846" t="s">
        <v>348</v>
      </c>
      <c r="U846">
        <v>2005</v>
      </c>
      <c r="V846">
        <v>30919</v>
      </c>
    </row>
    <row r="847" spans="17:22">
      <c r="Q847">
        <v>8111</v>
      </c>
      <c r="R847">
        <v>9</v>
      </c>
      <c r="S847" t="s">
        <v>354</v>
      </c>
      <c r="T847" t="s">
        <v>348</v>
      </c>
      <c r="U847">
        <v>2006</v>
      </c>
      <c r="V847">
        <v>29207</v>
      </c>
    </row>
    <row r="848" spans="17:22">
      <c r="Q848">
        <v>8111</v>
      </c>
      <c r="R848">
        <v>9</v>
      </c>
      <c r="S848" t="s">
        <v>354</v>
      </c>
      <c r="T848" t="s">
        <v>348</v>
      </c>
      <c r="U848">
        <v>2007</v>
      </c>
      <c r="V848">
        <v>28170</v>
      </c>
    </row>
    <row r="849" spans="17:22">
      <c r="Q849">
        <v>8111</v>
      </c>
      <c r="R849">
        <v>9</v>
      </c>
      <c r="S849" t="s">
        <v>354</v>
      </c>
      <c r="T849" t="s">
        <v>348</v>
      </c>
      <c r="U849">
        <v>2008</v>
      </c>
      <c r="V849">
        <v>27075</v>
      </c>
    </row>
    <row r="850" spans="17:22">
      <c r="Q850">
        <v>8111</v>
      </c>
      <c r="R850">
        <v>9</v>
      </c>
      <c r="S850" t="s">
        <v>354</v>
      </c>
      <c r="T850" t="s">
        <v>348</v>
      </c>
      <c r="U850">
        <v>2009</v>
      </c>
      <c r="V850">
        <v>25445</v>
      </c>
    </row>
    <row r="851" spans="17:22">
      <c r="Q851">
        <v>8111</v>
      </c>
      <c r="R851">
        <v>9</v>
      </c>
      <c r="S851" t="s">
        <v>354</v>
      </c>
      <c r="T851" t="s">
        <v>348</v>
      </c>
      <c r="U851">
        <v>2010</v>
      </c>
      <c r="V851">
        <v>25421</v>
      </c>
    </row>
    <row r="852" spans="17:22">
      <c r="Q852">
        <v>8111</v>
      </c>
      <c r="R852">
        <v>9</v>
      </c>
      <c r="S852" t="s">
        <v>354</v>
      </c>
      <c r="T852" t="s">
        <v>348</v>
      </c>
      <c r="U852">
        <v>2011</v>
      </c>
      <c r="V852">
        <v>25780</v>
      </c>
    </row>
    <row r="853" spans="17:22">
      <c r="Q853">
        <v>8111</v>
      </c>
      <c r="R853">
        <v>9</v>
      </c>
      <c r="S853" t="s">
        <v>354</v>
      </c>
      <c r="T853" t="s">
        <v>348</v>
      </c>
      <c r="U853">
        <v>2012</v>
      </c>
      <c r="V853">
        <v>26291</v>
      </c>
    </row>
    <row r="854" spans="17:22">
      <c r="Q854">
        <v>8111</v>
      </c>
      <c r="R854">
        <v>9</v>
      </c>
      <c r="S854" t="s">
        <v>354</v>
      </c>
      <c r="T854" t="s">
        <v>348</v>
      </c>
      <c r="U854">
        <v>2013</v>
      </c>
      <c r="V854">
        <v>26495</v>
      </c>
    </row>
    <row r="855" spans="17:22">
      <c r="Q855">
        <v>8111</v>
      </c>
      <c r="R855">
        <v>9</v>
      </c>
      <c r="S855" t="s">
        <v>354</v>
      </c>
      <c r="T855" t="s">
        <v>348</v>
      </c>
      <c r="U855">
        <v>2014</v>
      </c>
      <c r="V855">
        <v>27883</v>
      </c>
    </row>
    <row r="856" spans="17:22">
      <c r="Q856">
        <v>8111</v>
      </c>
      <c r="R856">
        <v>9</v>
      </c>
      <c r="S856" t="s">
        <v>354</v>
      </c>
      <c r="T856" t="s">
        <v>348</v>
      </c>
      <c r="U856">
        <v>2015</v>
      </c>
      <c r="V856">
        <v>28669</v>
      </c>
    </row>
    <row r="857" spans="17:22">
      <c r="Q857">
        <v>8111</v>
      </c>
      <c r="R857">
        <v>9</v>
      </c>
      <c r="S857" t="s">
        <v>354</v>
      </c>
      <c r="T857" t="s">
        <v>348</v>
      </c>
      <c r="U857">
        <v>2016</v>
      </c>
      <c r="V857">
        <v>29340</v>
      </c>
    </row>
    <row r="858" spans="17:22">
      <c r="Q858">
        <v>8111</v>
      </c>
      <c r="R858">
        <v>9</v>
      </c>
      <c r="S858" t="s">
        <v>354</v>
      </c>
      <c r="T858" t="s">
        <v>348</v>
      </c>
      <c r="U858">
        <v>2017</v>
      </c>
      <c r="V858">
        <v>28801</v>
      </c>
    </row>
    <row r="859" spans="17:22">
      <c r="Q859">
        <v>8111</v>
      </c>
      <c r="R859">
        <v>9</v>
      </c>
      <c r="S859" t="s">
        <v>354</v>
      </c>
      <c r="T859" t="s">
        <v>348</v>
      </c>
      <c r="U859">
        <v>2018</v>
      </c>
      <c r="V859">
        <v>28824</v>
      </c>
    </row>
    <row r="860" spans="17:22">
      <c r="Q860">
        <v>8111</v>
      </c>
      <c r="R860">
        <v>9</v>
      </c>
      <c r="S860" t="s">
        <v>354</v>
      </c>
      <c r="T860" t="s">
        <v>348</v>
      </c>
      <c r="U860">
        <v>2019</v>
      </c>
      <c r="V860">
        <v>29070</v>
      </c>
    </row>
    <row r="861" spans="17:22">
      <c r="Q861">
        <v>8111</v>
      </c>
      <c r="R861">
        <v>9</v>
      </c>
      <c r="S861" t="s">
        <v>354</v>
      </c>
      <c r="T861" t="s">
        <v>348</v>
      </c>
      <c r="U861">
        <v>2020</v>
      </c>
      <c r="V861">
        <v>25994</v>
      </c>
    </row>
    <row r="862" spans="17:22">
      <c r="Q862">
        <v>8111</v>
      </c>
      <c r="R862">
        <v>9</v>
      </c>
      <c r="S862" t="s">
        <v>354</v>
      </c>
      <c r="T862" t="s">
        <v>348</v>
      </c>
      <c r="U862">
        <v>2021</v>
      </c>
      <c r="V862">
        <v>28560</v>
      </c>
    </row>
    <row r="863" spans="17:22">
      <c r="Q863">
        <v>8111</v>
      </c>
      <c r="R863">
        <v>9</v>
      </c>
      <c r="S863" t="s">
        <v>354</v>
      </c>
      <c r="T863" t="s">
        <v>348</v>
      </c>
      <c r="U863">
        <v>2022</v>
      </c>
      <c r="V863">
        <v>29743</v>
      </c>
    </row>
    <row r="864" spans="17:22">
      <c r="Q864">
        <v>8111</v>
      </c>
      <c r="R864">
        <v>9</v>
      </c>
      <c r="S864" t="s">
        <v>354</v>
      </c>
      <c r="T864" t="s">
        <v>348</v>
      </c>
      <c r="U864">
        <v>2023</v>
      </c>
      <c r="V864">
        <v>30839</v>
      </c>
    </row>
    <row r="865" spans="17:22">
      <c r="Q865">
        <v>8111</v>
      </c>
      <c r="R865">
        <v>9</v>
      </c>
      <c r="S865" t="s">
        <v>354</v>
      </c>
      <c r="T865" t="s">
        <v>348</v>
      </c>
      <c r="U865">
        <v>2024</v>
      </c>
      <c r="V865">
        <v>31338</v>
      </c>
    </row>
    <row r="866" spans="17:22">
      <c r="Q866">
        <v>4841</v>
      </c>
      <c r="R866">
        <v>10</v>
      </c>
      <c r="S866" t="s">
        <v>358</v>
      </c>
      <c r="T866" t="s">
        <v>348</v>
      </c>
      <c r="U866">
        <v>2001</v>
      </c>
      <c r="V866">
        <v>24304</v>
      </c>
    </row>
    <row r="867" spans="17:22">
      <c r="Q867">
        <v>4841</v>
      </c>
      <c r="R867">
        <v>10</v>
      </c>
      <c r="S867" t="s">
        <v>358</v>
      </c>
      <c r="T867" t="s">
        <v>348</v>
      </c>
      <c r="U867">
        <v>2002</v>
      </c>
      <c r="V867">
        <v>23494</v>
      </c>
    </row>
    <row r="868" spans="17:22">
      <c r="Q868">
        <v>4841</v>
      </c>
      <c r="R868">
        <v>10</v>
      </c>
      <c r="S868" t="s">
        <v>358</v>
      </c>
      <c r="T868" t="s">
        <v>348</v>
      </c>
      <c r="U868">
        <v>2003</v>
      </c>
      <c r="V868">
        <v>23370</v>
      </c>
    </row>
    <row r="869" spans="17:22">
      <c r="Q869">
        <v>4841</v>
      </c>
      <c r="R869">
        <v>10</v>
      </c>
      <c r="S869" t="s">
        <v>358</v>
      </c>
      <c r="T869" t="s">
        <v>348</v>
      </c>
      <c r="U869">
        <v>2004</v>
      </c>
      <c r="V869">
        <v>25079</v>
      </c>
    </row>
    <row r="870" spans="17:22">
      <c r="Q870">
        <v>4841</v>
      </c>
      <c r="R870">
        <v>10</v>
      </c>
      <c r="S870" t="s">
        <v>358</v>
      </c>
      <c r="T870" t="s">
        <v>348</v>
      </c>
      <c r="U870">
        <v>2005</v>
      </c>
      <c r="V870">
        <v>26456</v>
      </c>
    </row>
    <row r="871" spans="17:22">
      <c r="Q871">
        <v>4841</v>
      </c>
      <c r="R871">
        <v>10</v>
      </c>
      <c r="S871" t="s">
        <v>358</v>
      </c>
      <c r="T871" t="s">
        <v>348</v>
      </c>
      <c r="U871">
        <v>2006</v>
      </c>
      <c r="V871">
        <v>27533</v>
      </c>
    </row>
    <row r="872" spans="17:22">
      <c r="Q872">
        <v>4841</v>
      </c>
      <c r="R872">
        <v>10</v>
      </c>
      <c r="S872" t="s">
        <v>358</v>
      </c>
      <c r="T872" t="s">
        <v>348</v>
      </c>
      <c r="U872">
        <v>2007</v>
      </c>
      <c r="V872">
        <v>28217</v>
      </c>
    </row>
    <row r="873" spans="17:22">
      <c r="Q873">
        <v>4841</v>
      </c>
      <c r="R873">
        <v>10</v>
      </c>
      <c r="S873" t="s">
        <v>358</v>
      </c>
      <c r="T873" t="s">
        <v>348</v>
      </c>
      <c r="U873">
        <v>2008</v>
      </c>
      <c r="V873">
        <v>27143</v>
      </c>
    </row>
    <row r="874" spans="17:22">
      <c r="Q874">
        <v>4841</v>
      </c>
      <c r="R874">
        <v>10</v>
      </c>
      <c r="S874" t="s">
        <v>358</v>
      </c>
      <c r="T874" t="s">
        <v>348</v>
      </c>
      <c r="U874">
        <v>2009</v>
      </c>
      <c r="V874">
        <v>24306</v>
      </c>
    </row>
    <row r="875" spans="17:22">
      <c r="Q875">
        <v>4841</v>
      </c>
      <c r="R875">
        <v>10</v>
      </c>
      <c r="S875" t="s">
        <v>358</v>
      </c>
      <c r="T875" t="s">
        <v>348</v>
      </c>
      <c r="U875">
        <v>2010</v>
      </c>
      <c r="V875">
        <v>25301</v>
      </c>
    </row>
    <row r="876" spans="17:22">
      <c r="Q876">
        <v>4841</v>
      </c>
      <c r="R876">
        <v>10</v>
      </c>
      <c r="S876" t="s">
        <v>358</v>
      </c>
      <c r="T876" t="s">
        <v>348</v>
      </c>
      <c r="U876">
        <v>2011</v>
      </c>
      <c r="V876">
        <v>27285</v>
      </c>
    </row>
    <row r="877" spans="17:22">
      <c r="Q877">
        <v>4841</v>
      </c>
      <c r="R877">
        <v>10</v>
      </c>
      <c r="S877" t="s">
        <v>358</v>
      </c>
      <c r="T877" t="s">
        <v>348</v>
      </c>
      <c r="U877">
        <v>2012</v>
      </c>
      <c r="V877">
        <v>28899</v>
      </c>
    </row>
    <row r="878" spans="17:22">
      <c r="Q878">
        <v>4841</v>
      </c>
      <c r="R878">
        <v>10</v>
      </c>
      <c r="S878" t="s">
        <v>358</v>
      </c>
      <c r="T878" t="s">
        <v>348</v>
      </c>
      <c r="U878">
        <v>2013</v>
      </c>
      <c r="V878">
        <v>30818</v>
      </c>
    </row>
    <row r="879" spans="17:22">
      <c r="Q879">
        <v>4841</v>
      </c>
      <c r="R879">
        <v>10</v>
      </c>
      <c r="S879" t="s">
        <v>358</v>
      </c>
      <c r="T879" t="s">
        <v>348</v>
      </c>
      <c r="U879">
        <v>2014</v>
      </c>
      <c r="V879">
        <v>32934</v>
      </c>
    </row>
    <row r="880" spans="17:22">
      <c r="Q880">
        <v>4841</v>
      </c>
      <c r="R880">
        <v>10</v>
      </c>
      <c r="S880" t="s">
        <v>358</v>
      </c>
      <c r="T880" t="s">
        <v>348</v>
      </c>
      <c r="U880">
        <v>2015</v>
      </c>
      <c r="V880">
        <v>34976</v>
      </c>
    </row>
    <row r="881" spans="17:22">
      <c r="Q881">
        <v>4841</v>
      </c>
      <c r="R881">
        <v>10</v>
      </c>
      <c r="S881" t="s">
        <v>358</v>
      </c>
      <c r="T881" t="s">
        <v>348</v>
      </c>
      <c r="U881">
        <v>2016</v>
      </c>
      <c r="V881">
        <v>35627</v>
      </c>
    </row>
    <row r="882" spans="17:22">
      <c r="Q882">
        <v>4841</v>
      </c>
      <c r="R882">
        <v>10</v>
      </c>
      <c r="S882" t="s">
        <v>358</v>
      </c>
      <c r="T882" t="s">
        <v>348</v>
      </c>
      <c r="U882">
        <v>2017</v>
      </c>
      <c r="V882">
        <v>35455</v>
      </c>
    </row>
    <row r="883" spans="17:22">
      <c r="Q883">
        <v>4841</v>
      </c>
      <c r="R883">
        <v>10</v>
      </c>
      <c r="S883" t="s">
        <v>358</v>
      </c>
      <c r="T883" t="s">
        <v>348</v>
      </c>
      <c r="U883">
        <v>2018</v>
      </c>
      <c r="V883">
        <v>36045</v>
      </c>
    </row>
    <row r="884" spans="17:22">
      <c r="Q884">
        <v>4841</v>
      </c>
      <c r="R884">
        <v>10</v>
      </c>
      <c r="S884" t="s">
        <v>358</v>
      </c>
      <c r="T884" t="s">
        <v>348</v>
      </c>
      <c r="U884">
        <v>2019</v>
      </c>
      <c r="V884">
        <v>36859</v>
      </c>
    </row>
    <row r="885" spans="17:22">
      <c r="Q885">
        <v>4841</v>
      </c>
      <c r="R885">
        <v>10</v>
      </c>
      <c r="S885" t="s">
        <v>358</v>
      </c>
      <c r="T885" t="s">
        <v>348</v>
      </c>
      <c r="U885">
        <v>2020</v>
      </c>
      <c r="V885">
        <v>34290</v>
      </c>
    </row>
    <row r="886" spans="17:22">
      <c r="Q886">
        <v>4841</v>
      </c>
      <c r="R886">
        <v>10</v>
      </c>
      <c r="S886" t="s">
        <v>358</v>
      </c>
      <c r="T886" t="s">
        <v>348</v>
      </c>
      <c r="U886">
        <v>2021</v>
      </c>
      <c r="V886">
        <v>35833</v>
      </c>
    </row>
    <row r="887" spans="17:22">
      <c r="Q887">
        <v>4841</v>
      </c>
      <c r="R887">
        <v>10</v>
      </c>
      <c r="S887" t="s">
        <v>358</v>
      </c>
      <c r="T887" t="s">
        <v>348</v>
      </c>
      <c r="U887">
        <v>2022</v>
      </c>
      <c r="V887">
        <v>37946</v>
      </c>
    </row>
    <row r="888" spans="17:22">
      <c r="Q888">
        <v>4841</v>
      </c>
      <c r="R888">
        <v>10</v>
      </c>
      <c r="S888" t="s">
        <v>358</v>
      </c>
      <c r="T888" t="s">
        <v>348</v>
      </c>
      <c r="U888">
        <v>2023</v>
      </c>
      <c r="V888">
        <v>37688</v>
      </c>
    </row>
    <row r="889" spans="17:22">
      <c r="Q889">
        <v>4841</v>
      </c>
      <c r="R889">
        <v>10</v>
      </c>
      <c r="S889" t="s">
        <v>358</v>
      </c>
      <c r="T889" t="s">
        <v>348</v>
      </c>
      <c r="U889">
        <v>2024</v>
      </c>
      <c r="V889">
        <v>35249</v>
      </c>
    </row>
    <row r="890" spans="17:22">
      <c r="Q890">
        <v>4842</v>
      </c>
      <c r="R890">
        <v>10</v>
      </c>
      <c r="S890" t="s">
        <v>358</v>
      </c>
      <c r="T890" t="s">
        <v>348</v>
      </c>
      <c r="U890">
        <v>2001</v>
      </c>
      <c r="V890">
        <v>12159</v>
      </c>
    </row>
    <row r="891" spans="17:22">
      <c r="Q891">
        <v>4842</v>
      </c>
      <c r="R891">
        <v>10</v>
      </c>
      <c r="S891" t="s">
        <v>358</v>
      </c>
      <c r="T891" t="s">
        <v>348</v>
      </c>
      <c r="U891">
        <v>2002</v>
      </c>
      <c r="V891">
        <v>12250</v>
      </c>
    </row>
    <row r="892" spans="17:22">
      <c r="Q892">
        <v>4842</v>
      </c>
      <c r="R892">
        <v>10</v>
      </c>
      <c r="S892" t="s">
        <v>358</v>
      </c>
      <c r="T892" t="s">
        <v>348</v>
      </c>
      <c r="U892">
        <v>2003</v>
      </c>
      <c r="V892">
        <v>11577</v>
      </c>
    </row>
    <row r="893" spans="17:22">
      <c r="Q893">
        <v>4842</v>
      </c>
      <c r="R893">
        <v>10</v>
      </c>
      <c r="S893" t="s">
        <v>358</v>
      </c>
      <c r="T893" t="s">
        <v>348</v>
      </c>
      <c r="U893">
        <v>2004</v>
      </c>
      <c r="V893">
        <v>10949</v>
      </c>
    </row>
    <row r="894" spans="17:22">
      <c r="Q894">
        <v>4842</v>
      </c>
      <c r="R894">
        <v>10</v>
      </c>
      <c r="S894" t="s">
        <v>358</v>
      </c>
      <c r="T894" t="s">
        <v>348</v>
      </c>
      <c r="U894">
        <v>2005</v>
      </c>
      <c r="V894">
        <v>10926</v>
      </c>
    </row>
    <row r="895" spans="17:22">
      <c r="Q895">
        <v>4842</v>
      </c>
      <c r="R895">
        <v>10</v>
      </c>
      <c r="S895" t="s">
        <v>358</v>
      </c>
      <c r="T895" t="s">
        <v>348</v>
      </c>
      <c r="U895">
        <v>2006</v>
      </c>
      <c r="V895">
        <v>11232</v>
      </c>
    </row>
    <row r="896" spans="17:22">
      <c r="Q896">
        <v>4842</v>
      </c>
      <c r="R896">
        <v>10</v>
      </c>
      <c r="S896" t="s">
        <v>358</v>
      </c>
      <c r="T896" t="s">
        <v>348</v>
      </c>
      <c r="U896">
        <v>2007</v>
      </c>
      <c r="V896">
        <v>12544</v>
      </c>
    </row>
    <row r="897" spans="17:22">
      <c r="Q897">
        <v>4842</v>
      </c>
      <c r="R897">
        <v>10</v>
      </c>
      <c r="S897" t="s">
        <v>358</v>
      </c>
      <c r="T897" t="s">
        <v>348</v>
      </c>
      <c r="U897">
        <v>2008</v>
      </c>
      <c r="V897">
        <v>11797</v>
      </c>
    </row>
    <row r="898" spans="17:22">
      <c r="Q898">
        <v>4842</v>
      </c>
      <c r="R898">
        <v>10</v>
      </c>
      <c r="S898" t="s">
        <v>358</v>
      </c>
      <c r="T898" t="s">
        <v>348</v>
      </c>
      <c r="U898">
        <v>2009</v>
      </c>
      <c r="V898">
        <v>9566</v>
      </c>
    </row>
    <row r="899" spans="17:22">
      <c r="Q899">
        <v>4842</v>
      </c>
      <c r="R899">
        <v>10</v>
      </c>
      <c r="S899" t="s">
        <v>358</v>
      </c>
      <c r="T899" t="s">
        <v>348</v>
      </c>
      <c r="U899">
        <v>2010</v>
      </c>
      <c r="V899">
        <v>8933</v>
      </c>
    </row>
    <row r="900" spans="17:22">
      <c r="Q900">
        <v>4842</v>
      </c>
      <c r="R900">
        <v>10</v>
      </c>
      <c r="S900" t="s">
        <v>358</v>
      </c>
      <c r="T900" t="s">
        <v>348</v>
      </c>
      <c r="U900">
        <v>2011</v>
      </c>
      <c r="V900">
        <v>9330</v>
      </c>
    </row>
    <row r="901" spans="17:22">
      <c r="Q901">
        <v>4842</v>
      </c>
      <c r="R901">
        <v>10</v>
      </c>
      <c r="S901" t="s">
        <v>358</v>
      </c>
      <c r="T901" t="s">
        <v>348</v>
      </c>
      <c r="U901">
        <v>2012</v>
      </c>
      <c r="V901">
        <v>9589</v>
      </c>
    </row>
    <row r="902" spans="17:22">
      <c r="Q902">
        <v>4842</v>
      </c>
      <c r="R902">
        <v>10</v>
      </c>
      <c r="S902" t="s">
        <v>358</v>
      </c>
      <c r="T902" t="s">
        <v>348</v>
      </c>
      <c r="U902">
        <v>2013</v>
      </c>
      <c r="V902">
        <v>9919</v>
      </c>
    </row>
    <row r="903" spans="17:22">
      <c r="Q903">
        <v>4842</v>
      </c>
      <c r="R903">
        <v>10</v>
      </c>
      <c r="S903" t="s">
        <v>358</v>
      </c>
      <c r="T903" t="s">
        <v>348</v>
      </c>
      <c r="U903">
        <v>2014</v>
      </c>
      <c r="V903">
        <v>10492</v>
      </c>
    </row>
    <row r="904" spans="17:22">
      <c r="Q904">
        <v>4842</v>
      </c>
      <c r="R904">
        <v>10</v>
      </c>
      <c r="S904" t="s">
        <v>358</v>
      </c>
      <c r="T904" t="s">
        <v>348</v>
      </c>
      <c r="U904">
        <v>2015</v>
      </c>
      <c r="V904">
        <v>10954</v>
      </c>
    </row>
    <row r="905" spans="17:22">
      <c r="Q905">
        <v>4842</v>
      </c>
      <c r="R905">
        <v>10</v>
      </c>
      <c r="S905" t="s">
        <v>358</v>
      </c>
      <c r="T905" t="s">
        <v>348</v>
      </c>
      <c r="U905">
        <v>2016</v>
      </c>
      <c r="V905">
        <v>11273</v>
      </c>
    </row>
    <row r="906" spans="17:22">
      <c r="Q906">
        <v>4842</v>
      </c>
      <c r="R906">
        <v>10</v>
      </c>
      <c r="S906" t="s">
        <v>358</v>
      </c>
      <c r="T906" t="s">
        <v>348</v>
      </c>
      <c r="U906">
        <v>2017</v>
      </c>
      <c r="V906">
        <v>11268</v>
      </c>
    </row>
    <row r="907" spans="17:22">
      <c r="Q907">
        <v>4842</v>
      </c>
      <c r="R907">
        <v>10</v>
      </c>
      <c r="S907" t="s">
        <v>358</v>
      </c>
      <c r="T907" t="s">
        <v>348</v>
      </c>
      <c r="U907">
        <v>2018</v>
      </c>
      <c r="V907">
        <v>11457</v>
      </c>
    </row>
    <row r="908" spans="17:22">
      <c r="Q908">
        <v>4842</v>
      </c>
      <c r="R908">
        <v>10</v>
      </c>
      <c r="S908" t="s">
        <v>358</v>
      </c>
      <c r="T908" t="s">
        <v>348</v>
      </c>
      <c r="U908">
        <v>2019</v>
      </c>
      <c r="V908">
        <v>11523</v>
      </c>
    </row>
    <row r="909" spans="17:22">
      <c r="Q909">
        <v>4842</v>
      </c>
      <c r="R909">
        <v>10</v>
      </c>
      <c r="S909" t="s">
        <v>358</v>
      </c>
      <c r="T909" t="s">
        <v>348</v>
      </c>
      <c r="U909">
        <v>2020</v>
      </c>
      <c r="V909">
        <v>10488</v>
      </c>
    </row>
    <row r="910" spans="17:22">
      <c r="Q910">
        <v>4842</v>
      </c>
      <c r="R910">
        <v>10</v>
      </c>
      <c r="S910" t="s">
        <v>358</v>
      </c>
      <c r="T910" t="s">
        <v>348</v>
      </c>
      <c r="U910">
        <v>2021</v>
      </c>
      <c r="V910">
        <v>10937</v>
      </c>
    </row>
    <row r="911" spans="17:22">
      <c r="Q911">
        <v>4842</v>
      </c>
      <c r="R911">
        <v>10</v>
      </c>
      <c r="S911" t="s">
        <v>358</v>
      </c>
      <c r="T911" t="s">
        <v>348</v>
      </c>
      <c r="U911">
        <v>2022</v>
      </c>
      <c r="V911">
        <v>11251</v>
      </c>
    </row>
    <row r="912" spans="17:22">
      <c r="Q912">
        <v>4842</v>
      </c>
      <c r="R912">
        <v>10</v>
      </c>
      <c r="S912" t="s">
        <v>358</v>
      </c>
      <c r="T912" t="s">
        <v>348</v>
      </c>
      <c r="U912">
        <v>2023</v>
      </c>
      <c r="V912">
        <v>11349</v>
      </c>
    </row>
    <row r="913" spans="17:22">
      <c r="Q913">
        <v>4842</v>
      </c>
      <c r="R913">
        <v>10</v>
      </c>
      <c r="S913" t="s">
        <v>358</v>
      </c>
      <c r="T913" t="s">
        <v>348</v>
      </c>
      <c r="U913">
        <v>2024</v>
      </c>
      <c r="V913">
        <v>11640</v>
      </c>
    </row>
  </sheetData>
  <autoFilter ref="A1:H39" xr:uid="{ADD0B7FA-1FC1-4678-9B48-A06202EFB75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0BE3-3808-4B72-9259-F7D7C99DF910}">
  <dimension ref="A1:Q39"/>
  <sheetViews>
    <sheetView workbookViewId="0">
      <selection activeCell="O22" sqref="O22"/>
    </sheetView>
  </sheetViews>
  <sheetFormatPr defaultRowHeight="14.45"/>
  <sheetData>
    <row r="1" spans="1:17">
      <c r="A1" t="s">
        <v>0</v>
      </c>
      <c r="B1" t="s">
        <v>362</v>
      </c>
      <c r="C1" t="s">
        <v>363</v>
      </c>
      <c r="D1" t="s">
        <v>364</v>
      </c>
      <c r="E1" t="s">
        <v>365</v>
      </c>
      <c r="F1" t="s">
        <v>366</v>
      </c>
      <c r="G1" t="s">
        <v>367</v>
      </c>
      <c r="H1" t="s">
        <v>368</v>
      </c>
      <c r="I1" t="s">
        <v>369</v>
      </c>
      <c r="J1" t="s">
        <v>370</v>
      </c>
      <c r="K1" t="s">
        <v>371</v>
      </c>
      <c r="L1" t="s">
        <v>372</v>
      </c>
      <c r="M1" t="s">
        <v>373</v>
      </c>
      <c r="N1" t="s">
        <v>374</v>
      </c>
      <c r="O1" t="s">
        <v>375</v>
      </c>
      <c r="P1" t="s">
        <v>376</v>
      </c>
      <c r="Q1" t="s">
        <v>377</v>
      </c>
    </row>
    <row r="2" spans="1:17">
      <c r="A2">
        <v>3252</v>
      </c>
      <c r="B2" t="s">
        <v>378</v>
      </c>
      <c r="C2" t="s">
        <v>379</v>
      </c>
      <c r="D2" t="s">
        <v>380</v>
      </c>
      <c r="E2">
        <v>368.7</v>
      </c>
      <c r="F2">
        <v>100</v>
      </c>
      <c r="G2">
        <v>0.2</v>
      </c>
      <c r="H2">
        <v>376.7</v>
      </c>
      <c r="I2">
        <v>100</v>
      </c>
      <c r="J2">
        <v>0.2</v>
      </c>
      <c r="K2">
        <v>8</v>
      </c>
      <c r="L2">
        <v>2.2000000000000002</v>
      </c>
      <c r="N2">
        <v>0</v>
      </c>
      <c r="O2" t="s">
        <v>381</v>
      </c>
      <c r="P2">
        <v>0.214889</v>
      </c>
      <c r="Q2">
        <v>1.296278</v>
      </c>
    </row>
    <row r="3" spans="1:17">
      <c r="A3">
        <v>3255</v>
      </c>
      <c r="B3" t="s">
        <v>378</v>
      </c>
      <c r="C3" t="s">
        <v>379</v>
      </c>
      <c r="D3" t="s">
        <v>380</v>
      </c>
      <c r="E3">
        <v>178.7</v>
      </c>
      <c r="F3">
        <v>100</v>
      </c>
      <c r="G3">
        <v>0.1</v>
      </c>
      <c r="H3">
        <v>182.7</v>
      </c>
      <c r="I3">
        <v>100</v>
      </c>
      <c r="J3">
        <v>0.1</v>
      </c>
      <c r="K3">
        <v>4</v>
      </c>
      <c r="L3">
        <v>2.2999999999999998</v>
      </c>
      <c r="N3">
        <v>0</v>
      </c>
      <c r="O3" t="s">
        <v>382</v>
      </c>
      <c r="P3">
        <v>0.22161600000000001</v>
      </c>
      <c r="Q3">
        <v>1.337083</v>
      </c>
    </row>
    <row r="4" spans="1:17">
      <c r="A4">
        <v>3261</v>
      </c>
      <c r="B4" t="s">
        <v>378</v>
      </c>
      <c r="C4" t="s">
        <v>379</v>
      </c>
      <c r="D4" t="s">
        <v>380</v>
      </c>
      <c r="E4">
        <v>592.5</v>
      </c>
      <c r="F4">
        <v>100</v>
      </c>
      <c r="G4">
        <v>0.3</v>
      </c>
      <c r="H4">
        <v>618.79999999999995</v>
      </c>
      <c r="I4">
        <v>100</v>
      </c>
      <c r="J4">
        <v>0.4</v>
      </c>
      <c r="K4">
        <v>26.3</v>
      </c>
      <c r="L4">
        <v>4.4000000000000004</v>
      </c>
      <c r="N4">
        <v>0</v>
      </c>
      <c r="O4" t="s">
        <v>383</v>
      </c>
      <c r="P4">
        <v>0.43525700000000001</v>
      </c>
      <c r="Q4">
        <v>2.6401249999999998</v>
      </c>
    </row>
    <row r="5" spans="1:17">
      <c r="A5">
        <v>3262</v>
      </c>
      <c r="B5" t="s">
        <v>378</v>
      </c>
      <c r="C5" t="s">
        <v>379</v>
      </c>
      <c r="D5" t="s">
        <v>380</v>
      </c>
      <c r="E5">
        <v>132.6</v>
      </c>
      <c r="F5">
        <v>100</v>
      </c>
      <c r="G5">
        <v>0.1</v>
      </c>
      <c r="H5">
        <v>134.6</v>
      </c>
      <c r="I5">
        <v>100</v>
      </c>
      <c r="J5">
        <v>0.1</v>
      </c>
      <c r="K5">
        <v>2</v>
      </c>
      <c r="L5">
        <v>1.5</v>
      </c>
      <c r="N5">
        <v>0</v>
      </c>
      <c r="O5" t="s">
        <v>384</v>
      </c>
      <c r="P5">
        <v>0.149816</v>
      </c>
      <c r="Q5">
        <v>0.90226600000000001</v>
      </c>
    </row>
    <row r="6" spans="1:17">
      <c r="A6">
        <v>3272</v>
      </c>
      <c r="B6" t="s">
        <v>378</v>
      </c>
      <c r="C6" t="s">
        <v>379</v>
      </c>
      <c r="D6" t="s">
        <v>380</v>
      </c>
      <c r="E6">
        <v>422.3</v>
      </c>
      <c r="F6">
        <v>100</v>
      </c>
      <c r="G6">
        <v>0.2</v>
      </c>
      <c r="H6">
        <v>429</v>
      </c>
      <c r="I6">
        <v>100</v>
      </c>
      <c r="J6">
        <v>0.2</v>
      </c>
      <c r="K6">
        <v>6.7</v>
      </c>
      <c r="L6">
        <v>1.6</v>
      </c>
      <c r="N6">
        <v>0</v>
      </c>
      <c r="O6" t="s">
        <v>385</v>
      </c>
      <c r="P6">
        <v>0.15753400000000001</v>
      </c>
      <c r="Q6">
        <v>0.94893099999999997</v>
      </c>
    </row>
    <row r="7" spans="1:17">
      <c r="A7">
        <v>3311</v>
      </c>
      <c r="B7" t="s">
        <v>378</v>
      </c>
      <c r="C7" t="s">
        <v>379</v>
      </c>
      <c r="D7" t="s">
        <v>380</v>
      </c>
      <c r="E7">
        <v>85.6</v>
      </c>
      <c r="F7">
        <v>100</v>
      </c>
      <c r="G7">
        <v>0.1</v>
      </c>
      <c r="H7">
        <v>86.9</v>
      </c>
      <c r="I7">
        <v>100</v>
      </c>
      <c r="J7">
        <v>0</v>
      </c>
      <c r="K7">
        <v>1.3</v>
      </c>
      <c r="L7">
        <v>1.5</v>
      </c>
      <c r="N7">
        <v>0</v>
      </c>
      <c r="O7" t="s">
        <v>386</v>
      </c>
      <c r="P7">
        <v>0.150841</v>
      </c>
      <c r="Q7">
        <v>0.90846700000000002</v>
      </c>
    </row>
    <row r="8" spans="1:17">
      <c r="A8">
        <v>3312</v>
      </c>
      <c r="B8" t="s">
        <v>378</v>
      </c>
      <c r="C8" t="s">
        <v>379</v>
      </c>
      <c r="D8" t="s">
        <v>380</v>
      </c>
      <c r="E8">
        <v>59.8</v>
      </c>
      <c r="F8">
        <v>100</v>
      </c>
      <c r="G8">
        <v>0</v>
      </c>
      <c r="H8">
        <v>60.9</v>
      </c>
      <c r="I8">
        <v>100</v>
      </c>
      <c r="J8">
        <v>0</v>
      </c>
      <c r="K8">
        <v>1.1000000000000001</v>
      </c>
      <c r="L8">
        <v>1.9</v>
      </c>
      <c r="N8">
        <v>0</v>
      </c>
      <c r="O8" t="s">
        <v>387</v>
      </c>
      <c r="P8">
        <v>0.18244099999999999</v>
      </c>
      <c r="Q8">
        <v>1.099653</v>
      </c>
    </row>
    <row r="9" spans="1:17">
      <c r="A9">
        <v>3313</v>
      </c>
      <c r="B9" t="s">
        <v>378</v>
      </c>
      <c r="C9" t="s">
        <v>379</v>
      </c>
      <c r="D9" t="s">
        <v>380</v>
      </c>
      <c r="E9">
        <v>59.3</v>
      </c>
      <c r="F9">
        <v>100</v>
      </c>
      <c r="G9">
        <v>0</v>
      </c>
      <c r="H9">
        <v>58.4</v>
      </c>
      <c r="I9">
        <v>100</v>
      </c>
      <c r="J9">
        <v>0</v>
      </c>
      <c r="K9">
        <v>-0.9</v>
      </c>
      <c r="L9">
        <v>-1.5</v>
      </c>
      <c r="N9">
        <v>0</v>
      </c>
      <c r="O9" t="s">
        <v>388</v>
      </c>
      <c r="P9">
        <v>-0.15281700000000001</v>
      </c>
      <c r="Q9">
        <v>-0.913408</v>
      </c>
    </row>
    <row r="10" spans="1:17">
      <c r="A10">
        <v>3314</v>
      </c>
      <c r="B10" t="s">
        <v>378</v>
      </c>
      <c r="C10" t="s">
        <v>379</v>
      </c>
      <c r="D10" t="s">
        <v>380</v>
      </c>
      <c r="E10">
        <v>62.5</v>
      </c>
      <c r="F10">
        <v>100</v>
      </c>
      <c r="G10">
        <v>0</v>
      </c>
      <c r="H10">
        <v>63.6</v>
      </c>
      <c r="I10">
        <v>100</v>
      </c>
      <c r="J10">
        <v>0</v>
      </c>
      <c r="K10">
        <v>1.1000000000000001</v>
      </c>
      <c r="L10">
        <v>1.8</v>
      </c>
      <c r="N10">
        <v>0</v>
      </c>
      <c r="O10" t="s">
        <v>389</v>
      </c>
      <c r="P10">
        <v>0.174621</v>
      </c>
      <c r="Q10">
        <v>1.0523130000000001</v>
      </c>
    </row>
    <row r="11" spans="1:17">
      <c r="A11">
        <v>3315</v>
      </c>
      <c r="B11" t="s">
        <v>378</v>
      </c>
      <c r="C11" t="s">
        <v>379</v>
      </c>
      <c r="D11" t="s">
        <v>380</v>
      </c>
      <c r="E11">
        <v>106</v>
      </c>
      <c r="F11">
        <v>100</v>
      </c>
      <c r="G11">
        <v>0.1</v>
      </c>
      <c r="H11">
        <v>90.4</v>
      </c>
      <c r="I11">
        <v>100</v>
      </c>
      <c r="J11">
        <v>0.1</v>
      </c>
      <c r="K11">
        <v>-15.6</v>
      </c>
      <c r="L11">
        <v>-14.7</v>
      </c>
      <c r="N11">
        <v>0</v>
      </c>
      <c r="O11" t="s">
        <v>390</v>
      </c>
      <c r="P11">
        <v>-1.5793440000000001</v>
      </c>
      <c r="Q11">
        <v>-9.1097000000000001</v>
      </c>
    </row>
    <row r="12" spans="1:17">
      <c r="A12">
        <v>3321</v>
      </c>
      <c r="B12" t="s">
        <v>378</v>
      </c>
      <c r="C12" t="s">
        <v>379</v>
      </c>
      <c r="D12" t="s">
        <v>380</v>
      </c>
      <c r="E12">
        <v>467.8</v>
      </c>
      <c r="F12">
        <v>100</v>
      </c>
      <c r="G12">
        <v>0.3</v>
      </c>
      <c r="H12">
        <v>423.2</v>
      </c>
      <c r="I12">
        <v>100</v>
      </c>
      <c r="J12">
        <v>0.2</v>
      </c>
      <c r="K12">
        <v>-44.6</v>
      </c>
      <c r="L12">
        <v>-9.5</v>
      </c>
      <c r="N12">
        <v>0</v>
      </c>
      <c r="O12" t="s">
        <v>391</v>
      </c>
      <c r="P12">
        <v>-0.99695699999999998</v>
      </c>
      <c r="Q12">
        <v>-5.8346200000000001</v>
      </c>
    </row>
    <row r="13" spans="1:17">
      <c r="A13">
        <v>3326</v>
      </c>
      <c r="B13" t="s">
        <v>378</v>
      </c>
      <c r="C13" t="s">
        <v>379</v>
      </c>
      <c r="D13" t="s">
        <v>380</v>
      </c>
      <c r="E13">
        <v>467.8</v>
      </c>
      <c r="F13">
        <v>100</v>
      </c>
      <c r="G13">
        <v>0.3</v>
      </c>
      <c r="H13">
        <v>423.2</v>
      </c>
      <c r="I13">
        <v>100</v>
      </c>
      <c r="J13">
        <v>0.2</v>
      </c>
      <c r="K13">
        <v>-44.6</v>
      </c>
      <c r="L13">
        <v>-9.5</v>
      </c>
      <c r="N13">
        <v>0</v>
      </c>
      <c r="O13" t="s">
        <v>391</v>
      </c>
      <c r="P13">
        <v>-0.99695699999999998</v>
      </c>
      <c r="Q13">
        <v>-5.8346200000000001</v>
      </c>
    </row>
    <row r="14" spans="1:17">
      <c r="A14">
        <v>3327</v>
      </c>
      <c r="B14" t="s">
        <v>378</v>
      </c>
      <c r="C14" t="s">
        <v>379</v>
      </c>
      <c r="D14" t="s">
        <v>380</v>
      </c>
      <c r="E14">
        <v>333.2</v>
      </c>
      <c r="F14">
        <v>100</v>
      </c>
      <c r="G14">
        <v>0.2</v>
      </c>
      <c r="H14">
        <v>319.8</v>
      </c>
      <c r="I14">
        <v>100</v>
      </c>
      <c r="J14">
        <v>0.2</v>
      </c>
      <c r="K14">
        <v>-13.4</v>
      </c>
      <c r="L14">
        <v>-4</v>
      </c>
      <c r="N14">
        <v>0</v>
      </c>
      <c r="O14" t="s">
        <v>392</v>
      </c>
      <c r="P14">
        <v>-0.40962999999999999</v>
      </c>
      <c r="Q14">
        <v>-2.4327459999999999</v>
      </c>
    </row>
    <row r="15" spans="1:17">
      <c r="A15">
        <v>3328</v>
      </c>
      <c r="B15" t="s">
        <v>378</v>
      </c>
      <c r="C15" t="s">
        <v>379</v>
      </c>
      <c r="D15" t="s">
        <v>380</v>
      </c>
      <c r="E15">
        <v>129.6</v>
      </c>
      <c r="F15">
        <v>100</v>
      </c>
      <c r="G15">
        <v>0.1</v>
      </c>
      <c r="H15">
        <v>115.9</v>
      </c>
      <c r="I15">
        <v>100</v>
      </c>
      <c r="J15">
        <v>0.1</v>
      </c>
      <c r="K15">
        <v>-13.7</v>
      </c>
      <c r="L15">
        <v>-10.6</v>
      </c>
      <c r="N15">
        <v>0</v>
      </c>
      <c r="O15" t="s">
        <v>393</v>
      </c>
      <c r="P15">
        <v>-1.111032</v>
      </c>
      <c r="Q15">
        <v>-6.4837550000000004</v>
      </c>
    </row>
    <row r="16" spans="1:17">
      <c r="A16">
        <v>3329</v>
      </c>
      <c r="B16" t="s">
        <v>378</v>
      </c>
      <c r="C16" t="s">
        <v>379</v>
      </c>
      <c r="D16" t="s">
        <v>380</v>
      </c>
      <c r="E16">
        <v>467.8</v>
      </c>
      <c r="F16">
        <v>100</v>
      </c>
      <c r="G16">
        <v>0.3</v>
      </c>
      <c r="H16">
        <v>423.2</v>
      </c>
      <c r="I16">
        <v>100</v>
      </c>
      <c r="J16">
        <v>0.2</v>
      </c>
      <c r="K16">
        <v>-44.6</v>
      </c>
      <c r="L16">
        <v>-9.5</v>
      </c>
      <c r="N16">
        <v>0</v>
      </c>
      <c r="O16" t="s">
        <v>391</v>
      </c>
      <c r="P16">
        <v>-0.99695699999999998</v>
      </c>
      <c r="Q16">
        <v>-5.8346200000000001</v>
      </c>
    </row>
    <row r="17" spans="1:17">
      <c r="A17">
        <v>3335</v>
      </c>
      <c r="B17" t="s">
        <v>378</v>
      </c>
      <c r="C17" t="s">
        <v>379</v>
      </c>
      <c r="D17" t="s">
        <v>380</v>
      </c>
      <c r="E17">
        <v>157.1</v>
      </c>
      <c r="F17">
        <v>100</v>
      </c>
      <c r="G17">
        <v>0.1</v>
      </c>
      <c r="H17">
        <v>147.4</v>
      </c>
      <c r="I17">
        <v>100</v>
      </c>
      <c r="J17">
        <v>0.1</v>
      </c>
      <c r="K17">
        <v>-9.6999999999999993</v>
      </c>
      <c r="L17">
        <v>-6.2</v>
      </c>
      <c r="N17">
        <v>0</v>
      </c>
      <c r="O17" t="s">
        <v>394</v>
      </c>
      <c r="P17">
        <v>-0.63529899999999995</v>
      </c>
      <c r="Q17">
        <v>-3.7517640000000001</v>
      </c>
    </row>
    <row r="18" spans="1:17">
      <c r="A18">
        <v>3336</v>
      </c>
      <c r="B18" t="s">
        <v>378</v>
      </c>
      <c r="C18" t="s">
        <v>379</v>
      </c>
      <c r="D18" t="s">
        <v>380</v>
      </c>
      <c r="E18">
        <v>92.8</v>
      </c>
      <c r="F18">
        <v>100</v>
      </c>
      <c r="G18">
        <v>0.1</v>
      </c>
      <c r="H18">
        <v>88.4</v>
      </c>
      <c r="I18">
        <v>100</v>
      </c>
      <c r="J18">
        <v>0.1</v>
      </c>
      <c r="K18">
        <v>-4.4000000000000004</v>
      </c>
      <c r="L18">
        <v>-4.8</v>
      </c>
      <c r="N18">
        <v>0</v>
      </c>
      <c r="O18" t="s">
        <v>395</v>
      </c>
      <c r="P18">
        <v>-0.48456900000000003</v>
      </c>
      <c r="Q18">
        <v>-2.8724189999999998</v>
      </c>
    </row>
    <row r="19" spans="1:17">
      <c r="A19">
        <v>3339</v>
      </c>
      <c r="B19" t="s">
        <v>378</v>
      </c>
      <c r="C19" t="s">
        <v>379</v>
      </c>
      <c r="D19" t="s">
        <v>380</v>
      </c>
      <c r="E19">
        <v>780.2</v>
      </c>
      <c r="F19">
        <v>100</v>
      </c>
      <c r="G19">
        <v>0.5</v>
      </c>
      <c r="H19">
        <v>782.8</v>
      </c>
      <c r="I19">
        <v>100</v>
      </c>
      <c r="J19">
        <v>0.4</v>
      </c>
      <c r="K19">
        <v>2.6</v>
      </c>
      <c r="L19">
        <v>0.3</v>
      </c>
      <c r="N19">
        <v>0</v>
      </c>
      <c r="O19" t="s">
        <v>396</v>
      </c>
      <c r="P19">
        <v>3.3274999999999999E-2</v>
      </c>
      <c r="Q19">
        <v>0.19981599999999999</v>
      </c>
    </row>
    <row r="20" spans="1:17">
      <c r="A20">
        <v>3344</v>
      </c>
      <c r="B20" t="s">
        <v>378</v>
      </c>
      <c r="C20" t="s">
        <v>379</v>
      </c>
      <c r="D20" t="s">
        <v>380</v>
      </c>
      <c r="E20">
        <v>392.3</v>
      </c>
      <c r="F20">
        <v>100</v>
      </c>
      <c r="G20">
        <v>0.2</v>
      </c>
      <c r="H20">
        <v>436.8</v>
      </c>
      <c r="I20">
        <v>100</v>
      </c>
      <c r="J20">
        <v>0.2</v>
      </c>
      <c r="K20">
        <v>44.5</v>
      </c>
      <c r="L20">
        <v>11.4</v>
      </c>
      <c r="N20">
        <v>0</v>
      </c>
      <c r="O20" t="s">
        <v>397</v>
      </c>
      <c r="P20">
        <v>1.080279</v>
      </c>
      <c r="Q20">
        <v>6.6592669999999998</v>
      </c>
    </row>
    <row r="21" spans="1:17">
      <c r="A21">
        <v>3345</v>
      </c>
      <c r="B21" t="s">
        <v>378</v>
      </c>
      <c r="C21" t="s">
        <v>379</v>
      </c>
      <c r="D21" t="s">
        <v>380</v>
      </c>
      <c r="E21">
        <v>412.5</v>
      </c>
      <c r="F21">
        <v>100</v>
      </c>
      <c r="G21">
        <v>0.2</v>
      </c>
      <c r="H21">
        <v>426.5</v>
      </c>
      <c r="I21">
        <v>100</v>
      </c>
      <c r="J21">
        <v>0.2</v>
      </c>
      <c r="K21">
        <v>14</v>
      </c>
      <c r="L21">
        <v>3.4</v>
      </c>
      <c r="N21">
        <v>0</v>
      </c>
      <c r="O21" t="s">
        <v>398</v>
      </c>
      <c r="P21">
        <v>0.33431899999999998</v>
      </c>
      <c r="Q21">
        <v>2.0227560000000002</v>
      </c>
    </row>
    <row r="22" spans="1:17">
      <c r="A22">
        <v>3359</v>
      </c>
      <c r="B22" t="s">
        <v>378</v>
      </c>
      <c r="C22" t="s">
        <v>379</v>
      </c>
      <c r="D22" t="s">
        <v>380</v>
      </c>
      <c r="E22">
        <v>165.7</v>
      </c>
      <c r="F22">
        <v>100</v>
      </c>
      <c r="G22">
        <v>0.1</v>
      </c>
      <c r="H22">
        <v>214.1</v>
      </c>
      <c r="I22">
        <v>100</v>
      </c>
      <c r="J22">
        <v>0.1</v>
      </c>
      <c r="K22">
        <v>48.4</v>
      </c>
      <c r="L22">
        <v>29.2</v>
      </c>
      <c r="N22">
        <v>0</v>
      </c>
      <c r="O22" t="s">
        <v>399</v>
      </c>
      <c r="P22">
        <v>2.595761</v>
      </c>
      <c r="Q22">
        <v>16.620929</v>
      </c>
    </row>
    <row r="23" spans="1:17">
      <c r="A23">
        <v>3361</v>
      </c>
      <c r="B23" t="s">
        <v>378</v>
      </c>
      <c r="C23" t="s">
        <v>379</v>
      </c>
      <c r="D23" t="s">
        <v>380</v>
      </c>
      <c r="E23">
        <v>302</v>
      </c>
      <c r="F23">
        <v>100</v>
      </c>
      <c r="G23">
        <v>0.2</v>
      </c>
      <c r="H23">
        <v>318.2</v>
      </c>
      <c r="I23">
        <v>100</v>
      </c>
      <c r="J23">
        <v>0.2</v>
      </c>
      <c r="K23">
        <v>16.2</v>
      </c>
      <c r="L23">
        <v>5.4</v>
      </c>
      <c r="N23">
        <v>0</v>
      </c>
      <c r="O23" t="s">
        <v>400</v>
      </c>
      <c r="P23">
        <v>0.523899</v>
      </c>
      <c r="Q23">
        <v>3.1848510000000001</v>
      </c>
    </row>
    <row r="24" spans="1:17">
      <c r="A24">
        <v>3362</v>
      </c>
      <c r="B24" t="s">
        <v>378</v>
      </c>
      <c r="C24" t="s">
        <v>379</v>
      </c>
      <c r="D24" t="s">
        <v>380</v>
      </c>
      <c r="E24">
        <v>163.5</v>
      </c>
      <c r="F24">
        <v>100</v>
      </c>
      <c r="G24">
        <v>0.1</v>
      </c>
      <c r="H24">
        <v>169</v>
      </c>
      <c r="I24">
        <v>100</v>
      </c>
      <c r="J24">
        <v>0.1</v>
      </c>
      <c r="K24">
        <v>5.5</v>
      </c>
      <c r="L24">
        <v>3.4</v>
      </c>
      <c r="N24">
        <v>0</v>
      </c>
      <c r="O24" t="s">
        <v>401</v>
      </c>
      <c r="P24">
        <v>0.33140500000000001</v>
      </c>
      <c r="Q24">
        <v>2.0049779999999999</v>
      </c>
    </row>
    <row r="25" spans="1:17">
      <c r="A25">
        <v>3363</v>
      </c>
      <c r="B25" t="s">
        <v>378</v>
      </c>
      <c r="C25" t="s">
        <v>379</v>
      </c>
      <c r="D25" t="s">
        <v>380</v>
      </c>
      <c r="E25">
        <v>553.29999999999995</v>
      </c>
      <c r="F25">
        <v>100</v>
      </c>
      <c r="G25">
        <v>0.3</v>
      </c>
      <c r="H25">
        <v>429.3</v>
      </c>
      <c r="I25">
        <v>100</v>
      </c>
      <c r="J25">
        <v>0.2</v>
      </c>
      <c r="K25">
        <v>-124</v>
      </c>
      <c r="L25">
        <v>-22.4</v>
      </c>
      <c r="N25">
        <v>0</v>
      </c>
      <c r="O25" t="s">
        <v>402</v>
      </c>
      <c r="P25">
        <v>-2.5055209999999999</v>
      </c>
      <c r="Q25">
        <v>-14.122354</v>
      </c>
    </row>
    <row r="26" spans="1:17">
      <c r="A26">
        <v>4231</v>
      </c>
      <c r="B26" t="s">
        <v>378</v>
      </c>
      <c r="C26" t="s">
        <v>379</v>
      </c>
      <c r="D26" t="s">
        <v>380</v>
      </c>
      <c r="E26">
        <v>381.1</v>
      </c>
      <c r="F26">
        <v>100</v>
      </c>
      <c r="G26">
        <v>0.2</v>
      </c>
      <c r="H26">
        <v>398.4</v>
      </c>
      <c r="I26">
        <v>100</v>
      </c>
      <c r="J26">
        <v>0.2</v>
      </c>
      <c r="K26">
        <v>17.3</v>
      </c>
      <c r="L26">
        <v>4.5</v>
      </c>
      <c r="N26">
        <v>0</v>
      </c>
      <c r="O26" t="s">
        <v>403</v>
      </c>
      <c r="P26">
        <v>0.444934</v>
      </c>
      <c r="Q26">
        <v>2.6994760000000002</v>
      </c>
    </row>
    <row r="27" spans="1:17">
      <c r="A27">
        <v>4235</v>
      </c>
      <c r="B27" t="s">
        <v>378</v>
      </c>
      <c r="C27" t="s">
        <v>379</v>
      </c>
      <c r="D27" t="s">
        <v>380</v>
      </c>
      <c r="E27">
        <v>1529.3</v>
      </c>
      <c r="F27">
        <v>100</v>
      </c>
      <c r="G27">
        <v>0.9</v>
      </c>
      <c r="H27">
        <v>1581.5</v>
      </c>
      <c r="I27">
        <v>100</v>
      </c>
      <c r="J27">
        <v>0.9</v>
      </c>
      <c r="K27">
        <v>52.2</v>
      </c>
      <c r="L27">
        <v>3.4</v>
      </c>
      <c r="N27">
        <v>0</v>
      </c>
      <c r="O27" t="s">
        <v>404</v>
      </c>
      <c r="P27">
        <v>0.3362</v>
      </c>
      <c r="Q27">
        <v>2.034233</v>
      </c>
    </row>
    <row r="28" spans="1:17">
      <c r="A28">
        <v>4238</v>
      </c>
      <c r="B28" t="s">
        <v>378</v>
      </c>
      <c r="C28" t="s">
        <v>379</v>
      </c>
      <c r="D28" t="s">
        <v>380</v>
      </c>
      <c r="E28">
        <v>777.5</v>
      </c>
      <c r="F28">
        <v>100</v>
      </c>
      <c r="G28">
        <v>0.5</v>
      </c>
      <c r="H28">
        <v>808.9</v>
      </c>
      <c r="I28">
        <v>100</v>
      </c>
      <c r="J28">
        <v>0.5</v>
      </c>
      <c r="K28">
        <v>31.4</v>
      </c>
      <c r="L28">
        <v>4</v>
      </c>
      <c r="N28">
        <v>0</v>
      </c>
      <c r="O28" t="s">
        <v>405</v>
      </c>
      <c r="P28">
        <v>0.39670100000000003</v>
      </c>
      <c r="Q28">
        <v>2.4039389999999998</v>
      </c>
    </row>
    <row r="29" spans="1:17">
      <c r="A29">
        <v>4239</v>
      </c>
      <c r="B29" t="s">
        <v>378</v>
      </c>
      <c r="C29" t="s">
        <v>379</v>
      </c>
      <c r="D29" t="s">
        <v>380</v>
      </c>
      <c r="E29">
        <v>1529.3</v>
      </c>
      <c r="F29">
        <v>100</v>
      </c>
      <c r="G29">
        <v>0.9</v>
      </c>
      <c r="H29">
        <v>1581.5</v>
      </c>
      <c r="I29">
        <v>100</v>
      </c>
      <c r="J29">
        <v>0.9</v>
      </c>
      <c r="K29">
        <v>52.2</v>
      </c>
      <c r="L29">
        <v>3.4</v>
      </c>
      <c r="N29">
        <v>0</v>
      </c>
      <c r="O29" t="s">
        <v>404</v>
      </c>
      <c r="P29">
        <v>0.3362</v>
      </c>
      <c r="Q29">
        <v>2.034233</v>
      </c>
    </row>
    <row r="30" spans="1:17">
      <c r="A30">
        <v>4247</v>
      </c>
      <c r="B30" t="s">
        <v>378</v>
      </c>
      <c r="C30" t="s">
        <v>379</v>
      </c>
      <c r="D30" t="s">
        <v>380</v>
      </c>
      <c r="E30">
        <v>540</v>
      </c>
      <c r="F30">
        <v>100</v>
      </c>
      <c r="G30">
        <v>0.3</v>
      </c>
      <c r="H30">
        <v>546.4</v>
      </c>
      <c r="I30">
        <v>100</v>
      </c>
      <c r="J30">
        <v>0.3</v>
      </c>
      <c r="K30">
        <v>6.4</v>
      </c>
      <c r="L30">
        <v>1.2</v>
      </c>
      <c r="N30">
        <v>0</v>
      </c>
      <c r="O30" t="s">
        <v>406</v>
      </c>
      <c r="P30">
        <v>0.117891</v>
      </c>
      <c r="Q30">
        <v>0.70943500000000004</v>
      </c>
    </row>
    <row r="31" spans="1:17">
      <c r="A31">
        <v>4411</v>
      </c>
      <c r="B31" t="s">
        <v>378</v>
      </c>
      <c r="C31" t="s">
        <v>379</v>
      </c>
      <c r="D31" t="s">
        <v>380</v>
      </c>
      <c r="E31">
        <v>1287.3</v>
      </c>
      <c r="F31">
        <v>100</v>
      </c>
      <c r="G31">
        <v>0.8</v>
      </c>
      <c r="H31">
        <v>1322.5</v>
      </c>
      <c r="I31">
        <v>100</v>
      </c>
      <c r="J31">
        <v>0.8</v>
      </c>
      <c r="K31">
        <v>35.200000000000003</v>
      </c>
      <c r="L31">
        <v>2.7</v>
      </c>
      <c r="N31">
        <v>0</v>
      </c>
      <c r="O31" t="s">
        <v>407</v>
      </c>
      <c r="P31">
        <v>0.27013300000000001</v>
      </c>
      <c r="Q31">
        <v>1.631783</v>
      </c>
    </row>
    <row r="32" spans="1:17">
      <c r="A32">
        <v>4413</v>
      </c>
      <c r="B32" t="s">
        <v>378</v>
      </c>
      <c r="C32" t="s">
        <v>379</v>
      </c>
      <c r="D32" t="s">
        <v>380</v>
      </c>
      <c r="E32">
        <v>594.1</v>
      </c>
      <c r="F32">
        <v>100</v>
      </c>
      <c r="G32">
        <v>0.3</v>
      </c>
      <c r="H32">
        <v>611.70000000000005</v>
      </c>
      <c r="I32">
        <v>100</v>
      </c>
      <c r="J32">
        <v>0.3</v>
      </c>
      <c r="K32">
        <v>17.600000000000001</v>
      </c>
      <c r="L32">
        <v>3</v>
      </c>
      <c r="N32">
        <v>0</v>
      </c>
      <c r="O32" t="s">
        <v>408</v>
      </c>
      <c r="P32">
        <v>0.29237000000000002</v>
      </c>
      <c r="Q32">
        <v>1.76709</v>
      </c>
    </row>
    <row r="33" spans="1:17">
      <c r="A33">
        <v>4571</v>
      </c>
      <c r="B33" t="s">
        <v>378</v>
      </c>
      <c r="C33" t="s">
        <v>379</v>
      </c>
      <c r="D33" t="s">
        <v>380</v>
      </c>
      <c r="E33">
        <v>983.4</v>
      </c>
      <c r="F33">
        <v>100</v>
      </c>
      <c r="G33">
        <v>0.6</v>
      </c>
      <c r="H33">
        <v>845.2</v>
      </c>
      <c r="I33">
        <v>100</v>
      </c>
      <c r="J33">
        <v>0.5</v>
      </c>
      <c r="K33">
        <v>-138.19999999999999</v>
      </c>
      <c r="L33">
        <v>-14.1</v>
      </c>
      <c r="N33">
        <v>0</v>
      </c>
      <c r="O33" t="s">
        <v>409</v>
      </c>
      <c r="P33">
        <v>-1.503017</v>
      </c>
      <c r="Q33">
        <v>-8.6859570000000001</v>
      </c>
    </row>
    <row r="34" spans="1:17">
      <c r="A34">
        <v>4841</v>
      </c>
      <c r="B34" t="s">
        <v>378</v>
      </c>
      <c r="C34" t="s">
        <v>379</v>
      </c>
      <c r="D34" t="s">
        <v>380</v>
      </c>
      <c r="E34">
        <v>1522.1</v>
      </c>
      <c r="F34">
        <v>100</v>
      </c>
      <c r="G34">
        <v>0.9</v>
      </c>
      <c r="H34">
        <v>1543.1</v>
      </c>
      <c r="I34">
        <v>100</v>
      </c>
      <c r="J34">
        <v>0.9</v>
      </c>
      <c r="K34">
        <v>21</v>
      </c>
      <c r="L34">
        <v>1.4</v>
      </c>
      <c r="N34">
        <v>0</v>
      </c>
      <c r="O34" t="s">
        <v>410</v>
      </c>
      <c r="P34">
        <v>0.13711799999999999</v>
      </c>
      <c r="Q34">
        <v>0.82553399999999999</v>
      </c>
    </row>
    <row r="35" spans="1:17">
      <c r="A35">
        <v>4842</v>
      </c>
      <c r="B35" t="s">
        <v>378</v>
      </c>
      <c r="C35" t="s">
        <v>379</v>
      </c>
      <c r="D35" t="s">
        <v>380</v>
      </c>
      <c r="E35">
        <v>1522.1</v>
      </c>
      <c r="F35">
        <v>100</v>
      </c>
      <c r="G35">
        <v>0.9</v>
      </c>
      <c r="H35">
        <v>1543.1</v>
      </c>
      <c r="I35">
        <v>100</v>
      </c>
      <c r="J35">
        <v>0.9</v>
      </c>
      <c r="K35">
        <v>21</v>
      </c>
      <c r="L35">
        <v>1.4</v>
      </c>
      <c r="N35">
        <v>0</v>
      </c>
      <c r="O35" t="s">
        <v>410</v>
      </c>
      <c r="P35">
        <v>0.13711799999999999</v>
      </c>
      <c r="Q35">
        <v>0.82553399999999999</v>
      </c>
    </row>
    <row r="36" spans="1:17">
      <c r="A36">
        <v>5413</v>
      </c>
      <c r="B36" t="s">
        <v>378</v>
      </c>
      <c r="C36" t="s">
        <v>379</v>
      </c>
      <c r="D36" t="s">
        <v>380</v>
      </c>
      <c r="E36">
        <v>1703.6</v>
      </c>
      <c r="F36">
        <v>100</v>
      </c>
      <c r="G36">
        <v>1</v>
      </c>
      <c r="H36">
        <v>1770.7</v>
      </c>
      <c r="I36">
        <v>100</v>
      </c>
      <c r="J36">
        <v>1</v>
      </c>
      <c r="K36">
        <v>67.099999999999994</v>
      </c>
      <c r="L36">
        <v>3.9</v>
      </c>
      <c r="N36">
        <v>0</v>
      </c>
      <c r="O36" t="s">
        <v>411</v>
      </c>
      <c r="P36">
        <v>0.38706000000000002</v>
      </c>
      <c r="Q36">
        <v>2.3449490000000002</v>
      </c>
    </row>
    <row r="37" spans="1:17">
      <c r="A37">
        <v>5414</v>
      </c>
      <c r="B37" t="s">
        <v>378</v>
      </c>
      <c r="C37" t="s">
        <v>379</v>
      </c>
      <c r="D37" t="s">
        <v>380</v>
      </c>
      <c r="E37">
        <v>151.1</v>
      </c>
      <c r="F37">
        <v>100</v>
      </c>
      <c r="G37">
        <v>0.1</v>
      </c>
      <c r="H37">
        <v>156.9</v>
      </c>
      <c r="I37">
        <v>100</v>
      </c>
      <c r="J37">
        <v>0.1</v>
      </c>
      <c r="K37">
        <v>5.8</v>
      </c>
      <c r="L37">
        <v>3.8</v>
      </c>
      <c r="N37">
        <v>0</v>
      </c>
      <c r="O37" t="s">
        <v>412</v>
      </c>
      <c r="P37">
        <v>0.37737799999999999</v>
      </c>
      <c r="Q37">
        <v>2.285739</v>
      </c>
    </row>
    <row r="38" spans="1:17">
      <c r="A38">
        <v>5417</v>
      </c>
      <c r="B38" t="s">
        <v>378</v>
      </c>
      <c r="C38" t="s">
        <v>379</v>
      </c>
      <c r="D38" t="s">
        <v>380</v>
      </c>
      <c r="E38">
        <v>936.7</v>
      </c>
      <c r="F38">
        <v>100</v>
      </c>
      <c r="G38">
        <v>0.6</v>
      </c>
      <c r="H38">
        <v>1015.1</v>
      </c>
      <c r="I38">
        <v>100</v>
      </c>
      <c r="J38">
        <v>0.6</v>
      </c>
      <c r="K38">
        <v>78.400000000000006</v>
      </c>
      <c r="L38">
        <v>8.4</v>
      </c>
      <c r="N38">
        <v>0</v>
      </c>
      <c r="O38" t="s">
        <v>413</v>
      </c>
      <c r="P38">
        <v>0.807033</v>
      </c>
      <c r="Q38">
        <v>4.9409479999999997</v>
      </c>
    </row>
    <row r="39" spans="1:17">
      <c r="A39">
        <v>8111</v>
      </c>
      <c r="B39" t="s">
        <v>378</v>
      </c>
      <c r="C39" t="s">
        <v>379</v>
      </c>
      <c r="D39" t="s">
        <v>380</v>
      </c>
      <c r="E39">
        <v>1036</v>
      </c>
      <c r="F39">
        <v>100</v>
      </c>
      <c r="G39">
        <v>0.6</v>
      </c>
      <c r="H39">
        <v>1052</v>
      </c>
      <c r="I39">
        <v>100</v>
      </c>
      <c r="J39">
        <v>0.6</v>
      </c>
      <c r="K39">
        <v>16</v>
      </c>
      <c r="L39">
        <v>1.5</v>
      </c>
      <c r="N39">
        <v>0</v>
      </c>
      <c r="O39" t="s">
        <v>414</v>
      </c>
      <c r="P39">
        <v>0.15337700000000001</v>
      </c>
      <c r="Q39">
        <v>0.92379900000000004</v>
      </c>
    </row>
  </sheetData>
  <autoFilter ref="A1:Q39" xr:uid="{B1940BE3-3808-4B72-9259-F7D7C99DF910}">
    <sortState xmlns:xlrd2="http://schemas.microsoft.com/office/spreadsheetml/2017/richdata2" ref="A2:Q39">
      <sortCondition ref="A1:A3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1D75-C096-4781-84BE-B66422B358D7}">
  <dimension ref="A1:AH42"/>
  <sheetViews>
    <sheetView tabSelected="1" workbookViewId="0">
      <pane xSplit="2" ySplit="1" topLeftCell="AH30" activePane="bottomRight" state="frozen"/>
      <selection pane="bottomRight" activeCell="AH40" sqref="AH40"/>
      <selection pane="bottomLeft" activeCell="A2" sqref="A2"/>
      <selection pane="topRight" activeCell="C1" sqref="C1"/>
    </sheetView>
  </sheetViews>
  <sheetFormatPr defaultRowHeight="14.45"/>
  <cols>
    <col min="3" max="3" width="32.42578125" customWidth="1"/>
    <col min="7" max="7" width="11.5703125" bestFit="1" customWidth="1"/>
    <col min="8" max="8" width="11.28515625" bestFit="1" customWidth="1"/>
    <col min="9" max="9" width="11.28515625" customWidth="1"/>
    <col min="12" max="12" width="12.28515625" bestFit="1" customWidth="1"/>
    <col min="23" max="23" width="12" bestFit="1" customWidth="1"/>
    <col min="34" max="34" width="19.42578125" customWidth="1"/>
  </cols>
  <sheetData>
    <row r="1" spans="1:34">
      <c r="A1" t="s">
        <v>303</v>
      </c>
      <c r="B1" t="s">
        <v>0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415</v>
      </c>
      <c r="I1" t="s">
        <v>416</v>
      </c>
      <c r="J1" s="47" t="s">
        <v>10</v>
      </c>
      <c r="K1" s="47" t="s">
        <v>417</v>
      </c>
      <c r="L1" s="47" t="s">
        <v>418</v>
      </c>
      <c r="M1" s="44" t="s">
        <v>11</v>
      </c>
      <c r="N1" t="s">
        <v>419</v>
      </c>
      <c r="O1" t="s">
        <v>420</v>
      </c>
      <c r="P1" s="49" t="s">
        <v>421</v>
      </c>
      <c r="Q1" s="49" t="s">
        <v>422</v>
      </c>
      <c r="R1" s="49" t="s">
        <v>423</v>
      </c>
      <c r="S1" s="49" t="s">
        <v>424</v>
      </c>
      <c r="T1" t="s">
        <v>425</v>
      </c>
      <c r="U1" t="s">
        <v>426</v>
      </c>
      <c r="V1" t="s">
        <v>427</v>
      </c>
      <c r="W1" t="s">
        <v>428</v>
      </c>
      <c r="X1" t="s">
        <v>429</v>
      </c>
      <c r="AH1" t="s">
        <v>430</v>
      </c>
    </row>
    <row r="2" spans="1:34">
      <c r="A2">
        <v>1</v>
      </c>
      <c r="B2">
        <v>3252</v>
      </c>
      <c r="C2" t="s">
        <v>312</v>
      </c>
      <c r="D2">
        <v>1</v>
      </c>
      <c r="E2" t="s">
        <v>313</v>
      </c>
      <c r="F2" t="s">
        <v>314</v>
      </c>
      <c r="G2" s="44">
        <v>7265</v>
      </c>
      <c r="H2" s="44">
        <v>5524</v>
      </c>
      <c r="I2" s="43">
        <v>-23.964211975223677</v>
      </c>
      <c r="J2" s="45">
        <v>-243.69392697826964</v>
      </c>
      <c r="K2" s="46">
        <v>-4.0109930257229696</v>
      </c>
      <c r="L2" s="46">
        <v>30.698039996918599</v>
      </c>
      <c r="M2" s="44">
        <v>-1938.5417329647935</v>
      </c>
      <c r="N2" s="43">
        <v>-2.0536790313111601</v>
      </c>
      <c r="O2" s="43">
        <v>43.177754290495002</v>
      </c>
      <c r="P2" s="50" t="s">
        <v>431</v>
      </c>
      <c r="Q2" s="51">
        <v>1.3558201058201058</v>
      </c>
      <c r="R2" s="51">
        <v>0.13476183297016497</v>
      </c>
      <c r="S2" s="51">
        <v>0.81130001026701315</v>
      </c>
      <c r="T2" t="s">
        <v>381</v>
      </c>
      <c r="U2">
        <v>2.2000000000000002</v>
      </c>
      <c r="V2" s="43">
        <v>0.214889</v>
      </c>
      <c r="W2" s="43">
        <v>1.296278</v>
      </c>
      <c r="X2" t="s">
        <v>432</v>
      </c>
      <c r="AH2" s="126">
        <f>(((1+(R2/100))^6)-1)*100</f>
        <v>0.81130001026701315</v>
      </c>
    </row>
    <row r="3" spans="1:34">
      <c r="A3">
        <v>2</v>
      </c>
      <c r="B3">
        <v>3255</v>
      </c>
      <c r="C3" t="s">
        <v>315</v>
      </c>
      <c r="D3">
        <v>1</v>
      </c>
      <c r="E3" t="s">
        <v>316</v>
      </c>
      <c r="F3" t="s">
        <v>314</v>
      </c>
      <c r="G3" s="44">
        <v>4874</v>
      </c>
      <c r="H3" s="44">
        <v>4347</v>
      </c>
      <c r="I3" s="43">
        <v>-10.812474353713581</v>
      </c>
      <c r="J3" s="45">
        <v>-4.4977149770506486</v>
      </c>
      <c r="K3" s="46">
        <v>-9.4631808971093301E-2</v>
      </c>
      <c r="L3" s="46">
        <v>30.436150467131402</v>
      </c>
      <c r="M3" s="44">
        <v>1967.6245163762901</v>
      </c>
      <c r="N3" s="43">
        <v>3.0225163031468498</v>
      </c>
      <c r="O3" s="43">
        <v>42.520780388265997</v>
      </c>
      <c r="P3" s="50" t="s">
        <v>431</v>
      </c>
      <c r="Q3" s="51">
        <v>1.3558201058201058</v>
      </c>
      <c r="R3" s="51">
        <v>0.13476183297016497</v>
      </c>
      <c r="S3" s="51">
        <v>0.81130001026701315</v>
      </c>
      <c r="T3" t="s">
        <v>382</v>
      </c>
      <c r="U3">
        <v>2.2999999999999998</v>
      </c>
      <c r="V3" s="43">
        <v>0.22161600000000001</v>
      </c>
      <c r="W3" s="43">
        <v>1.337083</v>
      </c>
      <c r="X3" t="s">
        <v>433</v>
      </c>
      <c r="AH3" s="126">
        <f>(((1+(R3/100))^6)-1)*100</f>
        <v>0.81130001026701315</v>
      </c>
    </row>
    <row r="4" spans="1:34">
      <c r="A4">
        <v>3</v>
      </c>
      <c r="B4">
        <v>3261</v>
      </c>
      <c r="C4" t="s">
        <v>317</v>
      </c>
      <c r="D4">
        <v>1</v>
      </c>
      <c r="E4" t="s">
        <v>313</v>
      </c>
      <c r="F4" t="s">
        <v>314</v>
      </c>
      <c r="G4" s="44">
        <v>36820</v>
      </c>
      <c r="H4" s="44">
        <v>34371</v>
      </c>
      <c r="I4" s="43">
        <v>-6.6512764801738191</v>
      </c>
      <c r="J4" s="45">
        <v>-2016.5210339430998</v>
      </c>
      <c r="K4" s="46">
        <v>-5.8367142964990402</v>
      </c>
      <c r="L4" s="46">
        <v>17.527795855030401</v>
      </c>
      <c r="M4" s="44">
        <v>-14636.143870505066</v>
      </c>
      <c r="N4" s="43">
        <v>-2.4688972476162201</v>
      </c>
      <c r="O4" s="43">
        <v>26.192716890571301</v>
      </c>
      <c r="P4" s="50" t="s">
        <v>434</v>
      </c>
      <c r="Q4" s="51">
        <v>-2.9285533956071701</v>
      </c>
      <c r="R4" s="51">
        <v>-0.29678786828439829</v>
      </c>
      <c r="S4" s="51">
        <v>-1.7675669216056566</v>
      </c>
      <c r="T4" t="s">
        <v>383</v>
      </c>
      <c r="U4">
        <v>4.4000000000000004</v>
      </c>
      <c r="V4" s="43">
        <v>0.43525700000000001</v>
      </c>
      <c r="W4" s="43">
        <v>2.6401249999999998</v>
      </c>
      <c r="X4" t="s">
        <v>435</v>
      </c>
      <c r="AH4" s="126">
        <f>(((1+(R4/100))^6)-1)*100</f>
        <v>-1.7675669216056566</v>
      </c>
    </row>
    <row r="5" spans="1:34">
      <c r="A5">
        <v>4</v>
      </c>
      <c r="B5">
        <v>3262</v>
      </c>
      <c r="C5" t="s">
        <v>318</v>
      </c>
      <c r="D5">
        <v>1</v>
      </c>
      <c r="E5" t="s">
        <v>313</v>
      </c>
      <c r="F5" t="s">
        <v>314</v>
      </c>
      <c r="G5" s="44">
        <v>6003</v>
      </c>
      <c r="H5" s="44">
        <v>5147</v>
      </c>
      <c r="I5" s="43">
        <v>-14.25953689821756</v>
      </c>
      <c r="J5" s="45">
        <v>-671.22842169679052</v>
      </c>
      <c r="K5" s="46">
        <v>-12.9908330570168</v>
      </c>
      <c r="L5" s="46">
        <v>1.5819279025673201</v>
      </c>
      <c r="M5" s="44">
        <v>-13024.755138822016</v>
      </c>
      <c r="N5" s="43">
        <v>-9.8253893341050897</v>
      </c>
      <c r="O5" s="43">
        <v>14.7748136301001</v>
      </c>
      <c r="P5" s="50" t="s">
        <v>434</v>
      </c>
      <c r="Q5" s="51">
        <v>-2.9285533956071701</v>
      </c>
      <c r="R5" s="51">
        <v>-0.29678786828439829</v>
      </c>
      <c r="S5" s="51">
        <v>-1.7675669216056566</v>
      </c>
      <c r="T5" t="s">
        <v>384</v>
      </c>
      <c r="U5">
        <v>1.5</v>
      </c>
      <c r="V5" s="43">
        <v>0.149816</v>
      </c>
      <c r="W5" s="43">
        <v>0.90226600000000001</v>
      </c>
      <c r="X5" t="s">
        <v>436</v>
      </c>
      <c r="AH5" s="126">
        <f>(((1+(R5/100))^6)-1)*100</f>
        <v>-1.7675669216056566</v>
      </c>
    </row>
    <row r="6" spans="1:34">
      <c r="A6">
        <v>5</v>
      </c>
      <c r="B6">
        <v>3272</v>
      </c>
      <c r="C6" t="s">
        <v>319</v>
      </c>
      <c r="D6">
        <v>1</v>
      </c>
      <c r="E6" t="s">
        <v>313</v>
      </c>
      <c r="F6" t="s">
        <v>314</v>
      </c>
      <c r="G6" s="44">
        <v>3185</v>
      </c>
      <c r="H6" s="44">
        <v>2802</v>
      </c>
      <c r="I6" s="43">
        <v>-12.025117739403454</v>
      </c>
      <c r="J6" s="45">
        <v>-288.03363950911989</v>
      </c>
      <c r="K6" s="46">
        <v>-9.09571418424086</v>
      </c>
      <c r="L6" s="46">
        <v>0.33364156486636098</v>
      </c>
      <c r="M6" s="44">
        <v>-5933.6167403790087</v>
      </c>
      <c r="N6" s="43">
        <v>-7.6047635621773999</v>
      </c>
      <c r="O6" s="43">
        <v>1.2109469510741899</v>
      </c>
      <c r="P6" s="50" t="s">
        <v>437</v>
      </c>
      <c r="Q6" s="51">
        <v>-4.328621908127209</v>
      </c>
      <c r="R6" s="51">
        <v>-0.44153248417430069</v>
      </c>
      <c r="S6" s="51">
        <v>-2.6201238501176061</v>
      </c>
      <c r="T6" t="s">
        <v>385</v>
      </c>
      <c r="U6">
        <v>1.6</v>
      </c>
      <c r="V6" s="43">
        <v>0.15753400000000001</v>
      </c>
      <c r="W6" s="43">
        <v>0.94893099999999997</v>
      </c>
      <c r="X6" t="s">
        <v>438</v>
      </c>
      <c r="AH6" s="126">
        <f t="shared" ref="AH6:AH40" si="0">(((1+(R6/100))^6)-1)*100</f>
        <v>-2.6201238501176061</v>
      </c>
    </row>
    <row r="7" spans="1:34">
      <c r="A7">
        <v>6</v>
      </c>
      <c r="B7">
        <v>3311</v>
      </c>
      <c r="C7" t="s">
        <v>320</v>
      </c>
      <c r="D7">
        <v>1</v>
      </c>
      <c r="E7" t="s">
        <v>321</v>
      </c>
      <c r="F7" t="s">
        <v>314</v>
      </c>
      <c r="G7" s="44">
        <v>5228</v>
      </c>
      <c r="H7" s="44">
        <v>3258</v>
      </c>
      <c r="I7" s="43">
        <v>-37.681713848508039</v>
      </c>
      <c r="J7" s="45">
        <v>-569.20618510033</v>
      </c>
      <c r="K7" s="46">
        <v>-16.9713259744825</v>
      </c>
      <c r="L7" s="46">
        <v>-1.2952958766409499</v>
      </c>
      <c r="M7" s="44">
        <v>-11758.435938759305</v>
      </c>
      <c r="N7" s="43">
        <v>-13.757920385631801</v>
      </c>
      <c r="O7" s="43">
        <v>0.28359820922636703</v>
      </c>
      <c r="P7" s="50" t="s">
        <v>439</v>
      </c>
      <c r="Q7" s="51">
        <v>-8.0064481461579788</v>
      </c>
      <c r="R7" s="51">
        <v>-0.83104457233919016</v>
      </c>
      <c r="S7" s="51">
        <v>-4.8838129380225688</v>
      </c>
      <c r="T7" t="s">
        <v>386</v>
      </c>
      <c r="U7">
        <v>1.5</v>
      </c>
      <c r="V7" s="43">
        <v>0.150841</v>
      </c>
      <c r="W7" s="43">
        <v>0.90846700000000002</v>
      </c>
      <c r="X7" t="s">
        <v>440</v>
      </c>
      <c r="AH7" s="126">
        <f t="shared" si="0"/>
        <v>-4.8838129380225688</v>
      </c>
    </row>
    <row r="8" spans="1:34">
      <c r="A8">
        <v>7</v>
      </c>
      <c r="B8">
        <v>3312</v>
      </c>
      <c r="C8" t="s">
        <v>322</v>
      </c>
      <c r="D8">
        <v>1</v>
      </c>
      <c r="E8" t="s">
        <v>321</v>
      </c>
      <c r="F8" t="s">
        <v>314</v>
      </c>
      <c r="G8" s="44">
        <v>1790</v>
      </c>
      <c r="H8" s="44">
        <v>1974</v>
      </c>
      <c r="I8" s="43">
        <v>10.279329608938548</v>
      </c>
      <c r="J8" s="45">
        <v>-270.26256690820992</v>
      </c>
      <c r="K8" s="46">
        <v>-15.0072303708902</v>
      </c>
      <c r="L8" s="46">
        <v>5.6715982207323901</v>
      </c>
      <c r="M8" s="44">
        <v>-6580.3588830573999</v>
      </c>
      <c r="N8" s="43">
        <v>-11.0085469846038</v>
      </c>
      <c r="O8" s="43">
        <v>6.8198304979190798</v>
      </c>
      <c r="P8" s="50" t="s">
        <v>439</v>
      </c>
      <c r="Q8" s="51">
        <v>-8.0064481461579788</v>
      </c>
      <c r="R8" s="51">
        <v>-0.83104457233919016</v>
      </c>
      <c r="S8" s="51">
        <v>-4.8838129380225688</v>
      </c>
      <c r="T8" t="s">
        <v>387</v>
      </c>
      <c r="U8">
        <v>1.9</v>
      </c>
      <c r="V8" s="43">
        <v>0.18244099999999999</v>
      </c>
      <c r="W8" s="43">
        <v>1.099653</v>
      </c>
      <c r="X8" t="s">
        <v>441</v>
      </c>
      <c r="AH8" s="126">
        <f t="shared" si="0"/>
        <v>-4.8838129380225688</v>
      </c>
    </row>
    <row r="9" spans="1:34">
      <c r="A9">
        <v>8</v>
      </c>
      <c r="B9">
        <v>3313</v>
      </c>
      <c r="C9" t="s">
        <v>323</v>
      </c>
      <c r="D9">
        <v>1</v>
      </c>
      <c r="E9" t="s">
        <v>321</v>
      </c>
      <c r="F9" t="s">
        <v>314</v>
      </c>
      <c r="G9" s="44">
        <v>3436</v>
      </c>
      <c r="H9" s="44">
        <v>2698</v>
      </c>
      <c r="I9" s="43">
        <v>-21.47846332945285</v>
      </c>
      <c r="J9" s="45">
        <v>-321.65826552178032</v>
      </c>
      <c r="K9" s="46">
        <v>-11.217919509285499</v>
      </c>
      <c r="L9" s="46">
        <v>69.160214111368504</v>
      </c>
      <c r="M9" s="44">
        <v>-4388.9852985316011</v>
      </c>
      <c r="N9" s="43">
        <v>-7.0804647667538596</v>
      </c>
      <c r="O9" s="43">
        <v>64.166212339120705</v>
      </c>
      <c r="P9" s="50" t="s">
        <v>439</v>
      </c>
      <c r="Q9" s="51">
        <v>-8.0064481461579788</v>
      </c>
      <c r="R9" s="51">
        <v>-0.83104457233919016</v>
      </c>
      <c r="S9" s="51">
        <v>-4.8838129380225688</v>
      </c>
      <c r="T9" t="s">
        <v>388</v>
      </c>
      <c r="U9">
        <v>-1.5</v>
      </c>
      <c r="V9" s="43">
        <v>-0.15281700000000001</v>
      </c>
      <c r="W9" s="43">
        <v>-0.913408</v>
      </c>
      <c r="X9" t="s">
        <v>442</v>
      </c>
      <c r="AH9" s="126">
        <f t="shared" si="0"/>
        <v>-4.8838129380225688</v>
      </c>
    </row>
    <row r="10" spans="1:34">
      <c r="A10">
        <v>9</v>
      </c>
      <c r="B10">
        <v>3314</v>
      </c>
      <c r="C10" t="s">
        <v>324</v>
      </c>
      <c r="D10">
        <v>1</v>
      </c>
      <c r="E10" t="s">
        <v>321</v>
      </c>
      <c r="F10" t="s">
        <v>314</v>
      </c>
      <c r="G10" s="44">
        <v>1414</v>
      </c>
      <c r="H10" s="44">
        <v>1262</v>
      </c>
      <c r="I10" s="43">
        <v>-10.74964639321075</v>
      </c>
      <c r="J10" s="45">
        <v>-205.48259367105004</v>
      </c>
      <c r="K10" s="46">
        <v>-16.721149248860499</v>
      </c>
      <c r="L10" s="46">
        <v>60.435169261794897</v>
      </c>
      <c r="M10" s="44">
        <v>-7698.4036031995938</v>
      </c>
      <c r="N10" s="43">
        <v>-12.8404271402707</v>
      </c>
      <c r="O10" s="43">
        <v>56.120495966645798</v>
      </c>
      <c r="P10" s="50" t="s">
        <v>439</v>
      </c>
      <c r="Q10" s="51">
        <v>-8.0064481461579788</v>
      </c>
      <c r="R10" s="51">
        <v>-0.83104457233919016</v>
      </c>
      <c r="S10" s="51">
        <v>-4.8838129380225688</v>
      </c>
      <c r="T10" t="s">
        <v>389</v>
      </c>
      <c r="U10">
        <v>1.8</v>
      </c>
      <c r="V10" s="43">
        <v>0.174621</v>
      </c>
      <c r="W10" s="43">
        <v>1.0523130000000001</v>
      </c>
      <c r="X10" t="s">
        <v>443</v>
      </c>
      <c r="AH10" s="126">
        <f t="shared" si="0"/>
        <v>-4.8838129380225688</v>
      </c>
    </row>
    <row r="11" spans="1:34">
      <c r="A11">
        <v>10</v>
      </c>
      <c r="B11">
        <v>3328</v>
      </c>
      <c r="C11" t="s">
        <v>331</v>
      </c>
      <c r="D11">
        <v>1</v>
      </c>
      <c r="E11" t="s">
        <v>316</v>
      </c>
      <c r="F11" t="s">
        <v>314</v>
      </c>
      <c r="G11" s="44">
        <v>13709</v>
      </c>
      <c r="H11" s="44">
        <v>11221</v>
      </c>
      <c r="I11" s="43">
        <v>-18.148661463272305</v>
      </c>
      <c r="J11" s="45">
        <v>-366.02137761200026</v>
      </c>
      <c r="K11" s="46">
        <v>-3.2102769026679301</v>
      </c>
      <c r="L11" s="46">
        <v>25.2627738443237</v>
      </c>
      <c r="M11" s="44">
        <v>-2610.4533293590039</v>
      </c>
      <c r="N11" s="43">
        <v>-2.01346187754607</v>
      </c>
      <c r="O11" s="43">
        <v>18.773036960412298</v>
      </c>
      <c r="P11" s="50" t="s">
        <v>444</v>
      </c>
      <c r="Q11" s="51">
        <v>-4.3179587831207069</v>
      </c>
      <c r="R11" s="51">
        <v>-0.44042290347771074</v>
      </c>
      <c r="S11" s="51">
        <v>-2.6136118671116426</v>
      </c>
      <c r="T11" t="s">
        <v>393</v>
      </c>
      <c r="U11">
        <v>-10.6</v>
      </c>
      <c r="V11" s="43">
        <v>-1.111032</v>
      </c>
      <c r="W11" s="43">
        <v>-6.4837550000000004</v>
      </c>
      <c r="X11" t="s">
        <v>445</v>
      </c>
      <c r="AH11" s="126">
        <f t="shared" si="0"/>
        <v>-2.6136118671116426</v>
      </c>
    </row>
    <row r="12" spans="1:34">
      <c r="A12">
        <v>11</v>
      </c>
      <c r="B12">
        <v>3335</v>
      </c>
      <c r="C12" t="s">
        <v>333</v>
      </c>
      <c r="D12">
        <v>2</v>
      </c>
      <c r="E12" t="s">
        <v>334</v>
      </c>
      <c r="F12" t="s">
        <v>314</v>
      </c>
      <c r="G12" s="44">
        <v>38331</v>
      </c>
      <c r="H12" s="44">
        <v>29604</v>
      </c>
      <c r="I12" s="43">
        <v>-22.767472802692339</v>
      </c>
      <c r="J12" s="45">
        <v>-2323.1999060806993</v>
      </c>
      <c r="K12" s="46">
        <v>-7.81140432737645</v>
      </c>
      <c r="L12" s="46">
        <v>3.8095865773822699</v>
      </c>
      <c r="M12" s="44">
        <v>-15555.337722990998</v>
      </c>
      <c r="N12" s="43">
        <v>-9.9053125788410998</v>
      </c>
      <c r="O12" s="43">
        <v>5.1381327304017903</v>
      </c>
      <c r="P12" s="50" t="s">
        <v>446</v>
      </c>
      <c r="Q12" s="51">
        <v>-2.9655473179241167</v>
      </c>
      <c r="R12" s="51">
        <v>-0.3005882088689682</v>
      </c>
      <c r="S12" s="51">
        <v>-1.7900304584645754</v>
      </c>
      <c r="T12" t="s">
        <v>394</v>
      </c>
      <c r="U12">
        <v>-6.2</v>
      </c>
      <c r="V12" s="43">
        <v>-0.63529899999999995</v>
      </c>
      <c r="W12" s="43">
        <v>-3.7517640000000001</v>
      </c>
      <c r="X12" t="s">
        <v>447</v>
      </c>
      <c r="AH12" s="126">
        <f t="shared" si="0"/>
        <v>-1.7900304584645754</v>
      </c>
    </row>
    <row r="13" spans="1:34">
      <c r="A13">
        <v>12</v>
      </c>
      <c r="B13">
        <v>3339</v>
      </c>
      <c r="C13" t="s">
        <v>337</v>
      </c>
      <c r="D13">
        <v>2</v>
      </c>
      <c r="E13" t="s">
        <v>334</v>
      </c>
      <c r="F13" t="s">
        <v>314</v>
      </c>
      <c r="G13" s="44">
        <v>17093</v>
      </c>
      <c r="H13" s="44">
        <v>17946</v>
      </c>
      <c r="I13" s="43">
        <v>4.9903469256420756</v>
      </c>
      <c r="J13" s="45">
        <v>184.61068979799933</v>
      </c>
      <c r="K13" s="46">
        <v>1.05325605359721</v>
      </c>
      <c r="L13" s="46">
        <v>16.392330019556699</v>
      </c>
      <c r="M13" s="44">
        <v>1173.9642666630061</v>
      </c>
      <c r="N13" s="43">
        <v>0.41128542281423103</v>
      </c>
      <c r="O13" s="43">
        <v>19.540171534778601</v>
      </c>
      <c r="P13" s="50" t="s">
        <v>446</v>
      </c>
      <c r="Q13" s="51">
        <v>-2.9655473179241167</v>
      </c>
      <c r="R13" s="51">
        <v>-0.3005882088689682</v>
      </c>
      <c r="S13" s="51">
        <v>-1.7900304584645754</v>
      </c>
      <c r="T13" t="s">
        <v>396</v>
      </c>
      <c r="U13">
        <v>0.3</v>
      </c>
      <c r="V13" s="43">
        <v>3.3274999999999999E-2</v>
      </c>
      <c r="W13" s="43">
        <v>0.19981599999999999</v>
      </c>
      <c r="X13" t="s">
        <v>448</v>
      </c>
      <c r="AH13" s="126">
        <f t="shared" si="0"/>
        <v>-1.7900304584645754</v>
      </c>
    </row>
    <row r="14" spans="1:34">
      <c r="A14">
        <v>13</v>
      </c>
      <c r="B14">
        <v>3315</v>
      </c>
      <c r="C14" t="s">
        <v>325</v>
      </c>
      <c r="D14">
        <v>3</v>
      </c>
      <c r="E14" t="s">
        <v>326</v>
      </c>
      <c r="F14" t="s">
        <v>314</v>
      </c>
      <c r="G14" s="44">
        <v>10846</v>
      </c>
      <c r="H14" s="44">
        <v>9349</v>
      </c>
      <c r="I14" s="43">
        <v>-13.802323437211875</v>
      </c>
      <c r="J14" s="45">
        <v>-2090.5750047369606</v>
      </c>
      <c r="K14" s="46">
        <v>-22.873946076107899</v>
      </c>
      <c r="L14" s="46">
        <v>59.158420125738502</v>
      </c>
      <c r="M14" s="44">
        <v>-18952.379464613499</v>
      </c>
      <c r="N14" s="43">
        <v>-17.889448262340299</v>
      </c>
      <c r="O14" s="43">
        <v>59.9526386019688</v>
      </c>
      <c r="P14" s="50" t="s">
        <v>439</v>
      </c>
      <c r="Q14" s="51">
        <v>-8.0064481461579788</v>
      </c>
      <c r="R14" s="51">
        <v>-0.83104457233919016</v>
      </c>
      <c r="S14" s="51">
        <v>-4.8838129380225688</v>
      </c>
      <c r="T14" s="52" t="s">
        <v>390</v>
      </c>
      <c r="U14">
        <v>-14.7</v>
      </c>
      <c r="V14" s="43">
        <v>-1.5793440000000001</v>
      </c>
      <c r="W14" s="43">
        <v>-9.1097000000000001</v>
      </c>
      <c r="X14" t="s">
        <v>449</v>
      </c>
      <c r="AH14" s="126">
        <f t="shared" si="0"/>
        <v>-4.8838129380225688</v>
      </c>
    </row>
    <row r="15" spans="1:34">
      <c r="A15">
        <v>14</v>
      </c>
      <c r="B15">
        <v>3321</v>
      </c>
      <c r="C15" t="s">
        <v>327</v>
      </c>
      <c r="D15">
        <v>3</v>
      </c>
      <c r="E15" t="s">
        <v>326</v>
      </c>
      <c r="F15" t="s">
        <v>314</v>
      </c>
      <c r="G15" s="44">
        <v>8431</v>
      </c>
      <c r="H15" s="44">
        <v>6988</v>
      </c>
      <c r="I15" s="43">
        <v>-17.115407424979242</v>
      </c>
      <c r="J15" s="45">
        <v>-306.79522224683001</v>
      </c>
      <c r="K15" s="46">
        <v>-4.2154450149616398</v>
      </c>
      <c r="L15" s="46">
        <v>20.671709925631902</v>
      </c>
      <c r="M15" s="44">
        <v>-2186.9731037197935</v>
      </c>
      <c r="N15" s="43">
        <v>-2.4076768114346301</v>
      </c>
      <c r="O15" s="43">
        <v>14.1231170472399</v>
      </c>
      <c r="P15" s="50" t="s">
        <v>444</v>
      </c>
      <c r="Q15" s="51">
        <v>-4.3179587831207069</v>
      </c>
      <c r="R15" s="51">
        <v>-0.44042290347771074</v>
      </c>
      <c r="S15" s="51">
        <v>-2.6136118671116426</v>
      </c>
      <c r="T15" t="s">
        <v>391</v>
      </c>
      <c r="U15">
        <v>-9.5</v>
      </c>
      <c r="V15" s="43">
        <v>-0.99695699999999998</v>
      </c>
      <c r="W15" s="43">
        <v>-5.8346200000000001</v>
      </c>
      <c r="X15" t="s">
        <v>450</v>
      </c>
      <c r="AH15" s="126">
        <f t="shared" si="0"/>
        <v>-2.6136118671116426</v>
      </c>
    </row>
    <row r="16" spans="1:34">
      <c r="A16">
        <v>15</v>
      </c>
      <c r="B16">
        <v>3326</v>
      </c>
      <c r="C16" t="s">
        <v>328</v>
      </c>
      <c r="D16">
        <v>4</v>
      </c>
      <c r="E16" t="s">
        <v>329</v>
      </c>
      <c r="F16" t="s">
        <v>314</v>
      </c>
      <c r="G16" s="44">
        <v>3444</v>
      </c>
      <c r="H16" s="44">
        <v>2869</v>
      </c>
      <c r="I16" s="43">
        <v>-16.695702671312425</v>
      </c>
      <c r="J16" s="45">
        <v>-44.482158371999873</v>
      </c>
      <c r="K16" s="46">
        <v>-1.31378196920688</v>
      </c>
      <c r="L16" s="46">
        <v>13.027319100230301</v>
      </c>
      <c r="M16" s="44">
        <v>220.0362738830961</v>
      </c>
      <c r="N16" s="43">
        <v>0.52343323213800097</v>
      </c>
      <c r="O16" s="43">
        <v>6.72532202320268</v>
      </c>
      <c r="P16" s="50" t="s">
        <v>444</v>
      </c>
      <c r="Q16" s="51">
        <v>-4.3179587831207069</v>
      </c>
      <c r="R16" s="51">
        <v>-0.44042290347771074</v>
      </c>
      <c r="S16" s="51">
        <v>-2.6136118671116426</v>
      </c>
      <c r="T16" t="s">
        <v>391</v>
      </c>
      <c r="U16">
        <v>-9.5</v>
      </c>
      <c r="V16" s="43">
        <v>-0.99695699999999998</v>
      </c>
      <c r="W16" s="43">
        <v>-5.8346200000000001</v>
      </c>
      <c r="X16" t="s">
        <v>451</v>
      </c>
      <c r="AH16" s="126">
        <f t="shared" si="0"/>
        <v>-2.6136118671116426</v>
      </c>
    </row>
    <row r="17" spans="1:34">
      <c r="A17">
        <v>16</v>
      </c>
      <c r="B17">
        <v>3327</v>
      </c>
      <c r="C17" t="s">
        <v>330</v>
      </c>
      <c r="D17">
        <v>4</v>
      </c>
      <c r="E17" t="s">
        <v>329</v>
      </c>
      <c r="F17" t="s">
        <v>314</v>
      </c>
      <c r="G17" s="44">
        <v>28818</v>
      </c>
      <c r="H17" s="44">
        <v>24530</v>
      </c>
      <c r="I17" s="43">
        <v>-14.879589145672846</v>
      </c>
      <c r="J17" s="45">
        <v>-1626.5911640866016</v>
      </c>
      <c r="K17" s="46">
        <v>-6.6123205534729399</v>
      </c>
      <c r="L17" s="46">
        <v>22.522798921317001</v>
      </c>
      <c r="M17" s="44">
        <v>-21806.089760143037</v>
      </c>
      <c r="N17" s="43">
        <v>-6.5470645497125899</v>
      </c>
      <c r="O17" s="43">
        <v>16.412176145070799</v>
      </c>
      <c r="P17" s="50" t="s">
        <v>444</v>
      </c>
      <c r="Q17" s="51">
        <v>-4.3179587831207069</v>
      </c>
      <c r="R17" s="51">
        <v>-0.44042290347771074</v>
      </c>
      <c r="S17" s="51">
        <v>-2.6136118671116426</v>
      </c>
      <c r="T17" t="s">
        <v>392</v>
      </c>
      <c r="U17">
        <v>-4</v>
      </c>
      <c r="V17" s="43">
        <v>-0.40962999999999999</v>
      </c>
      <c r="W17" s="43">
        <v>-2.4327459999999999</v>
      </c>
      <c r="X17" t="s">
        <v>452</v>
      </c>
      <c r="AH17" s="126">
        <f t="shared" si="0"/>
        <v>-2.6136118671116426</v>
      </c>
    </row>
    <row r="18" spans="1:34">
      <c r="A18">
        <v>17</v>
      </c>
      <c r="B18">
        <v>3329</v>
      </c>
      <c r="C18" t="s">
        <v>332</v>
      </c>
      <c r="D18">
        <v>4</v>
      </c>
      <c r="E18" t="s">
        <v>329</v>
      </c>
      <c r="F18" t="s">
        <v>314</v>
      </c>
      <c r="G18" s="44">
        <v>11286</v>
      </c>
      <c r="H18" s="44">
        <v>10865</v>
      </c>
      <c r="I18" s="43">
        <v>-3.7302853092326775</v>
      </c>
      <c r="J18" s="45">
        <v>-91.435938772299608</v>
      </c>
      <c r="K18" s="46">
        <v>-0.87041644695290099</v>
      </c>
      <c r="L18" s="46">
        <v>27.6554271172852</v>
      </c>
      <c r="M18" s="44">
        <v>-729.76798400196685</v>
      </c>
      <c r="N18" s="43">
        <v>-0.26634720515549098</v>
      </c>
      <c r="O18" s="43">
        <v>21.282736240132799</v>
      </c>
      <c r="P18" s="50" t="s">
        <v>444</v>
      </c>
      <c r="Q18" s="51">
        <v>-4.3179587831207069</v>
      </c>
      <c r="R18" s="51">
        <v>-0.44042290347771074</v>
      </c>
      <c r="S18" s="51">
        <v>-2.6136118671116426</v>
      </c>
      <c r="T18" t="s">
        <v>391</v>
      </c>
      <c r="U18">
        <v>-9.5</v>
      </c>
      <c r="V18" s="43">
        <v>-0.99695699999999998</v>
      </c>
      <c r="W18" s="43">
        <v>-5.8346200000000001</v>
      </c>
      <c r="X18" t="s">
        <v>453</v>
      </c>
      <c r="AH18" s="126">
        <f t="shared" si="0"/>
        <v>-2.6136118671116426</v>
      </c>
    </row>
    <row r="19" spans="1:34">
      <c r="A19">
        <v>18</v>
      </c>
      <c r="B19">
        <v>3344</v>
      </c>
      <c r="C19" t="s">
        <v>338</v>
      </c>
      <c r="D19">
        <v>4</v>
      </c>
      <c r="E19" t="s">
        <v>329</v>
      </c>
      <c r="F19" t="s">
        <v>314</v>
      </c>
      <c r="G19" s="44">
        <v>10170</v>
      </c>
      <c r="H19" s="44">
        <v>12179</v>
      </c>
      <c r="I19" s="43">
        <v>19.754178957718782</v>
      </c>
      <c r="J19" s="45">
        <v>-348.08163597269902</v>
      </c>
      <c r="K19" s="46">
        <v>-3.0497183265857202</v>
      </c>
      <c r="L19" s="46">
        <v>53.400435613890203</v>
      </c>
      <c r="M19" s="44">
        <v>-14937.575166155</v>
      </c>
      <c r="N19" s="43">
        <v>-3.8069640682947501</v>
      </c>
      <c r="O19" s="43">
        <v>49.314758438121203</v>
      </c>
      <c r="P19" s="50" t="s">
        <v>454</v>
      </c>
      <c r="Q19" s="51">
        <v>2.7527289985761745</v>
      </c>
      <c r="R19" s="51">
        <v>0.27192130345803367</v>
      </c>
      <c r="S19" s="51">
        <v>1.6426592945104623</v>
      </c>
      <c r="T19" t="s">
        <v>397</v>
      </c>
      <c r="U19">
        <v>11.4</v>
      </c>
      <c r="V19" s="43">
        <v>1.080279</v>
      </c>
      <c r="W19" s="43">
        <v>6.6592669999999998</v>
      </c>
      <c r="X19" t="s">
        <v>455</v>
      </c>
      <c r="AH19" s="126">
        <f t="shared" si="0"/>
        <v>1.6426592945104623</v>
      </c>
    </row>
    <row r="20" spans="1:34">
      <c r="A20">
        <v>19</v>
      </c>
      <c r="B20">
        <v>3336</v>
      </c>
      <c r="C20" t="s">
        <v>335</v>
      </c>
      <c r="D20">
        <v>5</v>
      </c>
      <c r="E20" t="s">
        <v>336</v>
      </c>
      <c r="F20" t="s">
        <v>314</v>
      </c>
      <c r="G20" s="44">
        <v>4502</v>
      </c>
      <c r="H20" s="44">
        <v>4970</v>
      </c>
      <c r="I20" s="43">
        <v>10.395379831186141</v>
      </c>
      <c r="J20" s="45">
        <v>-213.98573301383993</v>
      </c>
      <c r="K20" s="46">
        <v>-4.4646054436007701</v>
      </c>
      <c r="L20" s="46">
        <v>11.3588468666305</v>
      </c>
      <c r="M20" s="44">
        <v>-2884.2823934458011</v>
      </c>
      <c r="N20" s="43">
        <v>-3.1070894461090499</v>
      </c>
      <c r="O20" s="43">
        <v>15.203474314536701</v>
      </c>
      <c r="P20" s="50" t="s">
        <v>446</v>
      </c>
      <c r="Q20" s="51">
        <v>-2.9655473179241167</v>
      </c>
      <c r="R20" s="51">
        <v>-0.3005882088689682</v>
      </c>
      <c r="S20" s="51">
        <v>-1.7900304584645754</v>
      </c>
      <c r="T20" t="s">
        <v>395</v>
      </c>
      <c r="U20">
        <v>-4.8</v>
      </c>
      <c r="V20" s="43">
        <v>-0.48456900000000003</v>
      </c>
      <c r="W20" s="43">
        <v>-2.8724189999999998</v>
      </c>
      <c r="X20" t="s">
        <v>456</v>
      </c>
      <c r="AH20" s="126">
        <f t="shared" si="0"/>
        <v>-1.7900304584645754</v>
      </c>
    </row>
    <row r="21" spans="1:34">
      <c r="A21">
        <v>20</v>
      </c>
      <c r="B21">
        <v>3345</v>
      </c>
      <c r="C21" t="s">
        <v>339</v>
      </c>
      <c r="D21">
        <v>5</v>
      </c>
      <c r="E21" t="s">
        <v>336</v>
      </c>
      <c r="F21" t="s">
        <v>314</v>
      </c>
      <c r="G21" s="44">
        <v>9027</v>
      </c>
      <c r="H21" s="44">
        <v>8867</v>
      </c>
      <c r="I21" s="43">
        <v>-1.7724603965880139</v>
      </c>
      <c r="J21" s="45">
        <v>-266.19142940051967</v>
      </c>
      <c r="K21" s="46">
        <v>-2.7267026208773602</v>
      </c>
      <c r="L21" s="46">
        <v>19.409224378571899</v>
      </c>
      <c r="M21" s="44">
        <v>-1582.1969862159904</v>
      </c>
      <c r="N21" s="43">
        <v>-0.38336154602005801</v>
      </c>
      <c r="O21" s="43">
        <v>18.9166139219234</v>
      </c>
      <c r="P21" s="50" t="s">
        <v>454</v>
      </c>
      <c r="Q21" s="51">
        <v>2.7527289985761745</v>
      </c>
      <c r="R21" s="51">
        <v>0.27192130345803367</v>
      </c>
      <c r="S21" s="51">
        <v>1.6426592945104623</v>
      </c>
      <c r="T21" t="s">
        <v>398</v>
      </c>
      <c r="U21">
        <v>3.4</v>
      </c>
      <c r="V21" s="43">
        <v>0.33431899999999998</v>
      </c>
      <c r="W21" s="43">
        <v>2.0227560000000002</v>
      </c>
      <c r="X21" t="s">
        <v>457</v>
      </c>
      <c r="AH21" s="126">
        <f t="shared" si="0"/>
        <v>1.6426592945104623</v>
      </c>
    </row>
    <row r="22" spans="1:34">
      <c r="A22">
        <v>21</v>
      </c>
      <c r="B22">
        <v>3359</v>
      </c>
      <c r="C22" t="s">
        <v>340</v>
      </c>
      <c r="D22">
        <v>5</v>
      </c>
      <c r="E22" t="s">
        <v>336</v>
      </c>
      <c r="F22" t="s">
        <v>314</v>
      </c>
      <c r="G22" s="44">
        <v>3847</v>
      </c>
      <c r="H22" s="44">
        <v>4446</v>
      </c>
      <c r="I22" s="43">
        <v>15.570574473615807</v>
      </c>
      <c r="J22" s="45">
        <v>93.82188671687075</v>
      </c>
      <c r="K22" s="46">
        <v>2.12626314774647</v>
      </c>
      <c r="L22" s="46">
        <v>16.300083474445</v>
      </c>
      <c r="M22" s="44">
        <v>-4525.2941919110017</v>
      </c>
      <c r="N22" s="43">
        <v>-2.7262439502632199</v>
      </c>
      <c r="O22" s="43">
        <v>28.297430756693501</v>
      </c>
      <c r="P22" s="50" t="s">
        <v>458</v>
      </c>
      <c r="Q22" s="51">
        <v>10.719424460431656</v>
      </c>
      <c r="R22" s="51">
        <v>1.0234933036722849</v>
      </c>
      <c r="S22" s="51">
        <v>6.300251428357484</v>
      </c>
      <c r="T22" t="s">
        <v>399</v>
      </c>
      <c r="U22">
        <v>29.2</v>
      </c>
      <c r="V22" s="43">
        <v>2.595761</v>
      </c>
      <c r="W22" s="43">
        <v>16.620929</v>
      </c>
      <c r="X22" t="s">
        <v>459</v>
      </c>
      <c r="AH22" s="126">
        <f t="shared" si="0"/>
        <v>6.300251428357484</v>
      </c>
    </row>
    <row r="23" spans="1:34">
      <c r="A23">
        <v>22</v>
      </c>
      <c r="B23">
        <v>5413</v>
      </c>
      <c r="C23" t="s">
        <v>210</v>
      </c>
      <c r="D23">
        <v>6</v>
      </c>
      <c r="E23" t="s">
        <v>360</v>
      </c>
      <c r="F23" t="s">
        <v>343</v>
      </c>
      <c r="G23" s="44">
        <v>86547</v>
      </c>
      <c r="H23" s="44">
        <v>84452</v>
      </c>
      <c r="I23" s="43">
        <v>-2.420650051417149</v>
      </c>
      <c r="J23" s="45">
        <v>2324.5895906345027</v>
      </c>
      <c r="K23" s="46">
        <v>2.7275866775772299</v>
      </c>
      <c r="L23" s="46">
        <v>36.428818923246297</v>
      </c>
      <c r="M23" s="44">
        <v>133335.86644556999</v>
      </c>
      <c r="N23" s="43">
        <v>7.8290483000037296</v>
      </c>
      <c r="O23" s="43">
        <v>40.665276716033901</v>
      </c>
      <c r="P23" s="50" t="s">
        <v>460</v>
      </c>
      <c r="Q23" s="51">
        <v>3.1959345002823261</v>
      </c>
      <c r="R23" s="51">
        <v>0.31508808127886923</v>
      </c>
      <c r="S23" s="51">
        <v>1.9054832747573913</v>
      </c>
      <c r="T23" t="s">
        <v>411</v>
      </c>
      <c r="U23">
        <v>3.9</v>
      </c>
      <c r="V23" s="43">
        <v>0.38706000000000002</v>
      </c>
      <c r="W23" s="43">
        <v>2.3449490000000002</v>
      </c>
      <c r="X23" t="s">
        <v>461</v>
      </c>
      <c r="AH23" s="126">
        <f t="shared" si="0"/>
        <v>1.9054832747573913</v>
      </c>
    </row>
    <row r="24" spans="1:34">
      <c r="A24">
        <v>23</v>
      </c>
      <c r="B24">
        <v>5414</v>
      </c>
      <c r="C24" t="s">
        <v>212</v>
      </c>
      <c r="D24">
        <v>6</v>
      </c>
      <c r="E24" t="s">
        <v>360</v>
      </c>
      <c r="F24" t="s">
        <v>343</v>
      </c>
      <c r="G24" s="44">
        <v>8632</v>
      </c>
      <c r="H24" s="44">
        <v>10458</v>
      </c>
      <c r="I24" s="43">
        <v>21.153846153846153</v>
      </c>
      <c r="J24" s="45">
        <v>-208.79741067109947</v>
      </c>
      <c r="K24" s="46">
        <v>-2.0096726335445299</v>
      </c>
      <c r="L24" s="46">
        <v>14.621598286318401</v>
      </c>
      <c r="M24" s="44">
        <v>-330.405721451001</v>
      </c>
      <c r="N24" s="43">
        <v>-0.21873930208082401</v>
      </c>
      <c r="O24" s="43">
        <v>17.056131645841301</v>
      </c>
      <c r="P24" s="50" t="s">
        <v>462</v>
      </c>
      <c r="Q24" s="51">
        <v>18.348623853211009</v>
      </c>
      <c r="R24" s="51">
        <v>1.6989153902162268</v>
      </c>
      <c r="S24" s="51">
        <v>10.636372385316406</v>
      </c>
      <c r="T24" t="s">
        <v>412</v>
      </c>
      <c r="U24">
        <v>3.8</v>
      </c>
      <c r="V24" s="43">
        <v>0.37737799999999999</v>
      </c>
      <c r="W24" s="43">
        <v>2.285739</v>
      </c>
      <c r="X24" t="s">
        <v>463</v>
      </c>
      <c r="AH24" s="126">
        <f t="shared" si="0"/>
        <v>10.636372385316406</v>
      </c>
    </row>
    <row r="25" spans="1:34">
      <c r="A25">
        <v>24</v>
      </c>
      <c r="B25">
        <v>5417</v>
      </c>
      <c r="C25" t="s">
        <v>218</v>
      </c>
      <c r="D25">
        <v>6</v>
      </c>
      <c r="E25" t="s">
        <v>360</v>
      </c>
      <c r="F25" t="s">
        <v>343</v>
      </c>
      <c r="G25" s="44">
        <v>21519</v>
      </c>
      <c r="H25" s="44">
        <v>25297</v>
      </c>
      <c r="I25" s="43">
        <v>17.556577907895349</v>
      </c>
      <c r="J25" s="45">
        <v>2166.8758043885996</v>
      </c>
      <c r="K25" s="46">
        <v>9.3234655451952495</v>
      </c>
      <c r="L25" s="46">
        <v>37.134614507510598</v>
      </c>
      <c r="M25" s="44">
        <v>109782.08167341007</v>
      </c>
      <c r="N25" s="43">
        <v>11.7195686418363</v>
      </c>
      <c r="O25" s="43">
        <v>36.951511315342103</v>
      </c>
      <c r="P25" s="50" t="s">
        <v>464</v>
      </c>
      <c r="Q25" s="51">
        <v>7.401512136888182</v>
      </c>
      <c r="R25" s="51">
        <v>0.71659610419938513</v>
      </c>
      <c r="S25" s="51">
        <v>4.3773430469153496</v>
      </c>
      <c r="T25" t="s">
        <v>413</v>
      </c>
      <c r="U25">
        <v>8.4</v>
      </c>
      <c r="V25" s="43">
        <v>0.807033</v>
      </c>
      <c r="W25" s="43">
        <v>4.9409479999999997</v>
      </c>
      <c r="X25" t="s">
        <v>465</v>
      </c>
      <c r="AH25" s="126">
        <f t="shared" si="0"/>
        <v>4.3773430469153496</v>
      </c>
    </row>
    <row r="26" spans="1:34">
      <c r="A26">
        <v>25</v>
      </c>
      <c r="B26">
        <v>3361</v>
      </c>
      <c r="C26" t="s">
        <v>341</v>
      </c>
      <c r="D26">
        <v>7</v>
      </c>
      <c r="E26" t="s">
        <v>342</v>
      </c>
      <c r="F26" t="s">
        <v>343</v>
      </c>
      <c r="G26" s="44">
        <v>39490</v>
      </c>
      <c r="H26" s="44">
        <v>48138</v>
      </c>
      <c r="I26" s="43">
        <v>21.899214991136997</v>
      </c>
      <c r="J26" s="45">
        <v>13230.830938544201</v>
      </c>
      <c r="K26" s="46">
        <v>27.1998701761608</v>
      </c>
      <c r="L26" s="46">
        <v>42.940477542609599</v>
      </c>
      <c r="M26" s="44">
        <v>95278.048297076966</v>
      </c>
      <c r="N26" s="43">
        <v>31.569058324692499</v>
      </c>
      <c r="O26" s="43">
        <v>46.711428114398501</v>
      </c>
      <c r="P26" s="50" t="s">
        <v>466</v>
      </c>
      <c r="Q26" s="51">
        <v>-5.0787528126004498</v>
      </c>
      <c r="R26" s="51">
        <v>-0.51987012504313146</v>
      </c>
      <c r="S26" s="51">
        <v>-3.0789609201947066</v>
      </c>
      <c r="T26" t="s">
        <v>400</v>
      </c>
      <c r="U26">
        <v>5.4</v>
      </c>
      <c r="V26" s="43">
        <v>0.523899</v>
      </c>
      <c r="W26" s="43">
        <v>3.1848510000000001</v>
      </c>
      <c r="X26" t="s">
        <v>467</v>
      </c>
      <c r="AH26" s="126">
        <f t="shared" si="0"/>
        <v>-3.0789609201947066</v>
      </c>
    </row>
    <row r="27" spans="1:34">
      <c r="A27">
        <v>26</v>
      </c>
      <c r="B27">
        <v>3362</v>
      </c>
      <c r="C27" t="s">
        <v>344</v>
      </c>
      <c r="D27">
        <v>7</v>
      </c>
      <c r="E27" t="s">
        <v>342</v>
      </c>
      <c r="F27" t="s">
        <v>343</v>
      </c>
      <c r="G27" s="44">
        <v>9041</v>
      </c>
      <c r="H27" s="44">
        <v>7921</v>
      </c>
      <c r="I27" s="43">
        <v>-12.388010175865501</v>
      </c>
      <c r="J27" s="45">
        <v>31.408345084360079</v>
      </c>
      <c r="K27" s="46">
        <v>0.36545648905497802</v>
      </c>
      <c r="L27" s="46">
        <v>29.550520862034698</v>
      </c>
      <c r="M27" s="44">
        <v>7052.5550708379969</v>
      </c>
      <c r="N27" s="43">
        <v>4.3134893399626302</v>
      </c>
      <c r="O27" s="43">
        <v>36.355867498813801</v>
      </c>
      <c r="P27" s="50" t="s">
        <v>466</v>
      </c>
      <c r="Q27" s="51">
        <v>-5.0787528126004498</v>
      </c>
      <c r="R27" s="51">
        <v>-0.51987012504313146</v>
      </c>
      <c r="S27" s="51">
        <v>-3.0789609201947066</v>
      </c>
      <c r="T27" t="s">
        <v>401</v>
      </c>
      <c r="U27">
        <v>3.4</v>
      </c>
      <c r="V27" s="43">
        <v>0.33140500000000001</v>
      </c>
      <c r="W27" s="43">
        <v>2.0049779999999999</v>
      </c>
      <c r="X27" t="s">
        <v>468</v>
      </c>
      <c r="AH27" s="126">
        <f t="shared" si="0"/>
        <v>-3.0789609201947066</v>
      </c>
    </row>
    <row r="28" spans="1:34">
      <c r="A28">
        <v>27</v>
      </c>
      <c r="B28">
        <v>3363</v>
      </c>
      <c r="C28" t="s">
        <v>345</v>
      </c>
      <c r="D28">
        <v>7</v>
      </c>
      <c r="E28" t="s">
        <v>342</v>
      </c>
      <c r="F28" t="s">
        <v>343</v>
      </c>
      <c r="G28" s="44">
        <v>134464</v>
      </c>
      <c r="H28" s="44">
        <v>117023</v>
      </c>
      <c r="I28" s="43">
        <v>-12.970757972394098</v>
      </c>
      <c r="J28" s="45">
        <v>-11325.243393899002</v>
      </c>
      <c r="K28" s="46">
        <v>-9.5703725094202099</v>
      </c>
      <c r="L28" s="46">
        <v>12.303413624833301</v>
      </c>
      <c r="M28" s="44">
        <v>-29525.333347247964</v>
      </c>
      <c r="N28" s="43">
        <v>-5.3361447470896399</v>
      </c>
      <c r="O28" s="43">
        <v>21.900337254446999</v>
      </c>
      <c r="P28" s="50" t="s">
        <v>466</v>
      </c>
      <c r="Q28" s="51">
        <v>-5.0787528126004498</v>
      </c>
      <c r="R28" s="51">
        <v>-0.51987012504313146</v>
      </c>
      <c r="S28" s="51">
        <v>-3.0789609201947066</v>
      </c>
      <c r="T28" t="s">
        <v>402</v>
      </c>
      <c r="U28">
        <v>-22.4</v>
      </c>
      <c r="V28" s="43">
        <v>-2.5055209999999999</v>
      </c>
      <c r="W28" s="43">
        <v>-14.122354</v>
      </c>
      <c r="X28" t="s">
        <v>469</v>
      </c>
      <c r="AH28" s="126">
        <f t="shared" si="0"/>
        <v>-3.0789609201947066</v>
      </c>
    </row>
    <row r="29" spans="1:34">
      <c r="A29">
        <v>28</v>
      </c>
      <c r="B29">
        <v>4231</v>
      </c>
      <c r="C29" t="s">
        <v>346</v>
      </c>
      <c r="D29">
        <v>8</v>
      </c>
      <c r="E29" t="s">
        <v>347</v>
      </c>
      <c r="F29" t="s">
        <v>348</v>
      </c>
      <c r="G29" s="44">
        <v>22017</v>
      </c>
      <c r="H29" s="44">
        <v>25978</v>
      </c>
      <c r="I29" s="43">
        <v>17.990643593586775</v>
      </c>
      <c r="J29" s="45">
        <v>957.09378226510114</v>
      </c>
      <c r="K29" s="46">
        <v>3.6680491892827298</v>
      </c>
      <c r="L29" s="46">
        <v>25.096698972649801</v>
      </c>
      <c r="M29" s="44">
        <v>20443.095600326957</v>
      </c>
      <c r="N29" s="43">
        <v>5.3654976067087397</v>
      </c>
      <c r="O29" s="43">
        <v>28.2808937679788</v>
      </c>
      <c r="P29" s="50" t="s">
        <v>470</v>
      </c>
      <c r="Q29" s="51">
        <v>-1.6270929902563618</v>
      </c>
      <c r="R29" s="51">
        <v>-0.16391306663875449</v>
      </c>
      <c r="S29" s="51">
        <v>-0.9794570728659413</v>
      </c>
      <c r="T29" t="s">
        <v>403</v>
      </c>
      <c r="U29">
        <v>4.5</v>
      </c>
      <c r="V29" s="43">
        <v>0.444934</v>
      </c>
      <c r="W29" s="43">
        <v>2.6994760000000002</v>
      </c>
      <c r="X29" t="s">
        <v>471</v>
      </c>
      <c r="AH29" s="126">
        <f t="shared" si="0"/>
        <v>-0.9794570728659413</v>
      </c>
    </row>
    <row r="30" spans="1:34">
      <c r="A30">
        <v>29</v>
      </c>
      <c r="B30">
        <v>4235</v>
      </c>
      <c r="C30" t="s">
        <v>349</v>
      </c>
      <c r="D30">
        <v>8</v>
      </c>
      <c r="E30" t="s">
        <v>347</v>
      </c>
      <c r="F30" t="s">
        <v>348</v>
      </c>
      <c r="G30" s="44">
        <v>7191</v>
      </c>
      <c r="H30" s="44">
        <v>6359</v>
      </c>
      <c r="I30" s="43">
        <v>-11.570018078153248</v>
      </c>
      <c r="J30" s="45">
        <v>-50.751260430629941</v>
      </c>
      <c r="K30" s="46">
        <v>-0.76293585231415895</v>
      </c>
      <c r="L30" s="46">
        <v>22.543724601810698</v>
      </c>
      <c r="M30" s="44">
        <v>8603.1180098189852</v>
      </c>
      <c r="N30" s="43">
        <v>6.2605814849991299</v>
      </c>
      <c r="O30" s="43">
        <v>27.554765241373001</v>
      </c>
      <c r="P30" s="50" t="s">
        <v>470</v>
      </c>
      <c r="Q30" s="51">
        <v>-1.6270929902563618</v>
      </c>
      <c r="R30" s="51">
        <v>-0.16391306663875449</v>
      </c>
      <c r="S30" s="51">
        <v>-0.9794570728659413</v>
      </c>
      <c r="T30" t="s">
        <v>404</v>
      </c>
      <c r="U30">
        <v>3.4</v>
      </c>
      <c r="V30" s="43">
        <v>0.3362</v>
      </c>
      <c r="W30" s="43">
        <v>2.034233</v>
      </c>
      <c r="X30" t="s">
        <v>472</v>
      </c>
      <c r="AH30" s="126">
        <f t="shared" si="0"/>
        <v>-0.9794570728659413</v>
      </c>
    </row>
    <row r="31" spans="1:34">
      <c r="A31">
        <v>30</v>
      </c>
      <c r="B31">
        <v>4238</v>
      </c>
      <c r="C31" t="s">
        <v>350</v>
      </c>
      <c r="D31">
        <v>8</v>
      </c>
      <c r="E31" t="s">
        <v>347</v>
      </c>
      <c r="F31" t="s">
        <v>348</v>
      </c>
      <c r="G31" s="44">
        <v>25165</v>
      </c>
      <c r="H31" s="44">
        <v>24407</v>
      </c>
      <c r="I31" s="43">
        <v>-3.0121200079475461</v>
      </c>
      <c r="J31" s="45">
        <v>244.09553513580207</v>
      </c>
      <c r="K31" s="46">
        <v>0.997814058104456</v>
      </c>
      <c r="L31" s="46">
        <v>18.0756143003996</v>
      </c>
      <c r="M31" s="44">
        <v>19985.246506400017</v>
      </c>
      <c r="N31" s="43">
        <v>2.5707947732654999</v>
      </c>
      <c r="O31" s="43">
        <v>21.685158169381701</v>
      </c>
      <c r="P31" s="50" t="s">
        <v>470</v>
      </c>
      <c r="Q31" s="51">
        <v>-1.6270929902563618</v>
      </c>
      <c r="R31" s="51">
        <v>-0.16391306663875449</v>
      </c>
      <c r="S31" s="51">
        <v>-0.9794570728659413</v>
      </c>
      <c r="T31" t="s">
        <v>405</v>
      </c>
      <c r="U31">
        <v>4</v>
      </c>
      <c r="V31" s="43">
        <v>0.39670100000000003</v>
      </c>
      <c r="W31" s="43">
        <v>2.4039389999999998</v>
      </c>
      <c r="X31" t="s">
        <v>473</v>
      </c>
      <c r="AH31" s="126">
        <f t="shared" si="0"/>
        <v>-0.9794570728659413</v>
      </c>
    </row>
    <row r="32" spans="1:34">
      <c r="A32">
        <v>31</v>
      </c>
      <c r="B32">
        <v>4239</v>
      </c>
      <c r="C32" t="s">
        <v>351</v>
      </c>
      <c r="D32">
        <v>8</v>
      </c>
      <c r="E32" t="s">
        <v>347</v>
      </c>
      <c r="F32" t="s">
        <v>348</v>
      </c>
      <c r="G32" s="44">
        <v>7792</v>
      </c>
      <c r="H32" s="44">
        <v>8732</v>
      </c>
      <c r="I32" s="43">
        <v>12.06365503080082</v>
      </c>
      <c r="J32" s="45">
        <v>19.774785123180649</v>
      </c>
      <c r="K32" s="46">
        <v>0.224252436117054</v>
      </c>
      <c r="L32" s="46">
        <v>22.9671627342805</v>
      </c>
      <c r="M32" s="44">
        <v>14679.292768465984</v>
      </c>
      <c r="N32" s="43">
        <v>4.5805776016873399</v>
      </c>
      <c r="O32" s="43">
        <v>28.293540363841799</v>
      </c>
      <c r="P32" s="50" t="s">
        <v>470</v>
      </c>
      <c r="Q32" s="51">
        <v>-1.6270929902563618</v>
      </c>
      <c r="R32" s="51">
        <v>-0.16391306663875449</v>
      </c>
      <c r="S32" s="51">
        <v>-0.9794570728659413</v>
      </c>
      <c r="T32" t="s">
        <v>404</v>
      </c>
      <c r="U32">
        <v>3.4</v>
      </c>
      <c r="V32" s="43">
        <v>0.3362</v>
      </c>
      <c r="W32" s="43">
        <v>2.034233</v>
      </c>
      <c r="X32" t="s">
        <v>474</v>
      </c>
      <c r="AH32" s="126">
        <f t="shared" si="0"/>
        <v>-0.9794570728659413</v>
      </c>
    </row>
    <row r="33" spans="1:34">
      <c r="A33">
        <v>32</v>
      </c>
      <c r="B33">
        <v>4247</v>
      </c>
      <c r="C33" t="s">
        <v>352</v>
      </c>
      <c r="D33">
        <v>8</v>
      </c>
      <c r="E33" t="s">
        <v>347</v>
      </c>
      <c r="F33" t="s">
        <v>348</v>
      </c>
      <c r="G33" s="44">
        <v>3442</v>
      </c>
      <c r="H33" s="44">
        <v>3846</v>
      </c>
      <c r="I33" s="43">
        <v>11.737361998837885</v>
      </c>
      <c r="J33" s="45">
        <v>-207.22672151706024</v>
      </c>
      <c r="K33" s="46">
        <v>-5.7345846076054299</v>
      </c>
      <c r="L33" s="46">
        <v>17.9749242092687</v>
      </c>
      <c r="M33" s="44">
        <v>-4999.9556623793069</v>
      </c>
      <c r="N33" s="43">
        <v>-4.9753340524581198</v>
      </c>
      <c r="O33" s="43">
        <v>20.007487771976599</v>
      </c>
      <c r="P33" s="50" t="s">
        <v>475</v>
      </c>
      <c r="Q33" s="51">
        <v>-1.4717425431711146</v>
      </c>
      <c r="R33" s="51">
        <v>-0.14815814945956518</v>
      </c>
      <c r="S33" s="51">
        <v>-0.88566276833724755</v>
      </c>
      <c r="T33" t="s">
        <v>406</v>
      </c>
      <c r="U33">
        <v>1.2</v>
      </c>
      <c r="V33" s="43">
        <v>0.117891</v>
      </c>
      <c r="W33" s="43">
        <v>0.70943500000000004</v>
      </c>
      <c r="X33" t="s">
        <v>476</v>
      </c>
      <c r="AH33" s="126">
        <f t="shared" si="0"/>
        <v>-0.88566276833724755</v>
      </c>
    </row>
    <row r="34" spans="1:34">
      <c r="A34">
        <v>33</v>
      </c>
      <c r="B34">
        <v>4413</v>
      </c>
      <c r="C34" t="s">
        <v>355</v>
      </c>
      <c r="D34">
        <v>8</v>
      </c>
      <c r="E34" t="s">
        <v>347</v>
      </c>
      <c r="F34" t="s">
        <v>348</v>
      </c>
      <c r="G34" s="44">
        <v>17572</v>
      </c>
      <c r="H34" s="44">
        <v>18192</v>
      </c>
      <c r="I34" s="43">
        <v>3.5283405417709996</v>
      </c>
      <c r="J34" s="45">
        <v>208.37047177590051</v>
      </c>
      <c r="K34" s="46">
        <v>1.1815487799623099</v>
      </c>
      <c r="L34" s="46">
        <v>40.614015112322903</v>
      </c>
      <c r="M34" s="44">
        <v>26330.883002039969</v>
      </c>
      <c r="N34" s="43">
        <v>4.5133470380051897</v>
      </c>
      <c r="O34" s="43">
        <v>38.897943906924503</v>
      </c>
      <c r="P34" s="50" t="s">
        <v>477</v>
      </c>
      <c r="Q34" s="51">
        <v>-0.38216560509554143</v>
      </c>
      <c r="R34" s="51">
        <v>-3.8282442773163172E-2</v>
      </c>
      <c r="S34" s="51">
        <v>-0.22947493700237187</v>
      </c>
      <c r="T34" t="s">
        <v>408</v>
      </c>
      <c r="U34">
        <v>3</v>
      </c>
      <c r="V34" s="43">
        <v>0.29237000000000002</v>
      </c>
      <c r="W34" s="43">
        <v>1.76709</v>
      </c>
      <c r="X34" t="s">
        <v>478</v>
      </c>
      <c r="AH34" s="126">
        <f t="shared" si="0"/>
        <v>-0.22947493700237187</v>
      </c>
    </row>
    <row r="35" spans="1:34">
      <c r="A35">
        <v>34</v>
      </c>
      <c r="B35">
        <v>4571</v>
      </c>
      <c r="C35" t="s">
        <v>356</v>
      </c>
      <c r="D35">
        <v>8</v>
      </c>
      <c r="E35" t="s">
        <v>347</v>
      </c>
      <c r="F35" t="s">
        <v>348</v>
      </c>
      <c r="G35" s="44">
        <v>27341.077804565401</v>
      </c>
      <c r="H35" s="44">
        <v>27826</v>
      </c>
      <c r="I35" s="43">
        <v>1.7736030704452601</v>
      </c>
      <c r="J35" s="45">
        <v>429.75796206719963</v>
      </c>
      <c r="K35" s="46">
        <v>1.57926177341339</v>
      </c>
      <c r="L35" s="46">
        <v>-4.2781051632654901</v>
      </c>
      <c r="M35" s="44">
        <v>36291.929758065977</v>
      </c>
      <c r="N35" s="43">
        <v>3.7543382180937601</v>
      </c>
      <c r="O35" s="43">
        <v>-5.7022100851351496</v>
      </c>
      <c r="P35" s="50" t="s">
        <v>479</v>
      </c>
      <c r="Q35" s="51">
        <v>-6.2433862433862428</v>
      </c>
      <c r="R35" s="51">
        <v>-0.64260616728745168</v>
      </c>
      <c r="S35" s="51">
        <v>-3.7942237685658853</v>
      </c>
      <c r="T35" t="s">
        <v>409</v>
      </c>
      <c r="U35">
        <v>-14.1</v>
      </c>
      <c r="V35" s="43">
        <v>-1.503017</v>
      </c>
      <c r="W35" s="43">
        <v>-8.6859570000000001</v>
      </c>
      <c r="X35" t="s">
        <v>480</v>
      </c>
      <c r="AH35" s="126">
        <f t="shared" si="0"/>
        <v>-3.7942237685658853</v>
      </c>
    </row>
    <row r="36" spans="1:34">
      <c r="A36">
        <v>35</v>
      </c>
      <c r="B36">
        <v>4411</v>
      </c>
      <c r="C36" t="s">
        <v>353</v>
      </c>
      <c r="D36">
        <v>9</v>
      </c>
      <c r="E36" t="s">
        <v>354</v>
      </c>
      <c r="F36" t="s">
        <v>348</v>
      </c>
      <c r="G36" s="44">
        <v>39716</v>
      </c>
      <c r="H36" s="44">
        <v>38262</v>
      </c>
      <c r="I36" s="43">
        <v>-3.6609930506596839</v>
      </c>
      <c r="J36" s="45">
        <v>155.60173464649552</v>
      </c>
      <c r="K36" s="46">
        <v>0.40183659946551897</v>
      </c>
      <c r="L36" s="46">
        <v>35.640482899511198</v>
      </c>
      <c r="M36" s="44">
        <v>43135.293217500017</v>
      </c>
      <c r="N36" s="43">
        <v>3.41272861866572</v>
      </c>
      <c r="O36" s="43">
        <v>34.829219271208601</v>
      </c>
      <c r="P36" s="50" t="s">
        <v>477</v>
      </c>
      <c r="Q36" s="51">
        <v>-0.38216560509554143</v>
      </c>
      <c r="R36" s="51">
        <v>-3.8282442773163172E-2</v>
      </c>
      <c r="S36" s="51">
        <v>-0.22947493700237187</v>
      </c>
      <c r="T36" t="s">
        <v>407</v>
      </c>
      <c r="U36">
        <v>2.7</v>
      </c>
      <c r="V36" s="43">
        <v>0.27013300000000001</v>
      </c>
      <c r="W36" s="43">
        <v>1.631783</v>
      </c>
      <c r="X36" t="s">
        <v>481</v>
      </c>
      <c r="AH36" s="126">
        <f t="shared" si="0"/>
        <v>-0.22947493700237187</v>
      </c>
    </row>
    <row r="37" spans="1:34">
      <c r="A37">
        <v>36</v>
      </c>
      <c r="B37">
        <v>8111</v>
      </c>
      <c r="C37" t="s">
        <v>361</v>
      </c>
      <c r="D37">
        <v>9</v>
      </c>
      <c r="E37" t="s">
        <v>354</v>
      </c>
      <c r="F37" t="s">
        <v>348</v>
      </c>
      <c r="G37" s="44">
        <v>28824</v>
      </c>
      <c r="H37" s="44">
        <v>31338</v>
      </c>
      <c r="I37" s="43">
        <v>8.7218984179850114</v>
      </c>
      <c r="J37" s="45">
        <v>1919.1022974674966</v>
      </c>
      <c r="K37" s="46">
        <v>6.2127701145143499</v>
      </c>
      <c r="L37" s="46">
        <v>12.143165385690301</v>
      </c>
      <c r="M37" s="44">
        <v>54300.114611869954</v>
      </c>
      <c r="N37" s="43">
        <v>5.2387020674550397</v>
      </c>
      <c r="O37" s="43">
        <v>15.0498734984984</v>
      </c>
      <c r="P37" s="50" t="s">
        <v>482</v>
      </c>
      <c r="Q37" s="51">
        <v>-1.3907888736890104</v>
      </c>
      <c r="R37" s="51">
        <v>-0.13995706474011493</v>
      </c>
      <c r="S37" s="51">
        <v>-0.83680966864535522</v>
      </c>
      <c r="T37" t="s">
        <v>414</v>
      </c>
      <c r="U37">
        <v>1.5</v>
      </c>
      <c r="V37" s="43">
        <v>0.15337700000000001</v>
      </c>
      <c r="W37" s="43">
        <v>0.92379900000000004</v>
      </c>
      <c r="X37" t="s">
        <v>483</v>
      </c>
      <c r="AH37" s="126">
        <f t="shared" si="0"/>
        <v>-0.83680966864535522</v>
      </c>
    </row>
    <row r="38" spans="1:34">
      <c r="A38">
        <v>37</v>
      </c>
      <c r="B38">
        <v>4841</v>
      </c>
      <c r="C38" t="s">
        <v>357</v>
      </c>
      <c r="D38">
        <v>10</v>
      </c>
      <c r="E38" t="s">
        <v>358</v>
      </c>
      <c r="F38" t="s">
        <v>348</v>
      </c>
      <c r="G38" s="44">
        <v>36045</v>
      </c>
      <c r="H38" s="44">
        <v>35249</v>
      </c>
      <c r="I38" s="43">
        <v>-2.2083506727701483</v>
      </c>
      <c r="J38" s="45">
        <v>-3430.4756031723045</v>
      </c>
      <c r="K38" s="46">
        <v>-9.6660311960563803</v>
      </c>
      <c r="L38" s="46">
        <v>11.0871488049295</v>
      </c>
      <c r="M38" s="44">
        <v>-131790.08874234397</v>
      </c>
      <c r="N38" s="43">
        <v>-12.3788961902391</v>
      </c>
      <c r="O38" s="43">
        <v>15.322994277075701</v>
      </c>
      <c r="P38" s="50" t="s">
        <v>484</v>
      </c>
      <c r="Q38" s="51">
        <v>2.0934959349593498</v>
      </c>
      <c r="R38" s="51">
        <v>0.20740312599327737</v>
      </c>
      <c r="S38" s="51">
        <v>1.2508890355684477</v>
      </c>
      <c r="T38" t="s">
        <v>410</v>
      </c>
      <c r="U38">
        <v>1.4</v>
      </c>
      <c r="V38" s="43">
        <v>0.13711799999999999</v>
      </c>
      <c r="W38" s="43">
        <v>0.82553399999999999</v>
      </c>
      <c r="X38" t="s">
        <v>485</v>
      </c>
      <c r="AH38" s="126">
        <f t="shared" si="0"/>
        <v>1.2508890355684477</v>
      </c>
    </row>
    <row r="39" spans="1:34">
      <c r="A39">
        <v>38</v>
      </c>
      <c r="B39">
        <v>4842</v>
      </c>
      <c r="C39" t="s">
        <v>359</v>
      </c>
      <c r="D39">
        <v>10</v>
      </c>
      <c r="E39" t="s">
        <v>358</v>
      </c>
      <c r="F39" t="s">
        <v>348</v>
      </c>
      <c r="G39" s="44">
        <v>11457</v>
      </c>
      <c r="H39" s="44">
        <v>11640</v>
      </c>
      <c r="I39" s="43">
        <v>1.5972767740246137</v>
      </c>
      <c r="J39" s="45">
        <v>-1749.0037935683099</v>
      </c>
      <c r="K39" s="46">
        <v>-15.0089521866858</v>
      </c>
      <c r="L39" s="46">
        <v>14.9371602329997</v>
      </c>
      <c r="M39" s="44">
        <v>-52420.435218797022</v>
      </c>
      <c r="N39" s="43">
        <v>-11.470602027950999</v>
      </c>
      <c r="O39" s="43">
        <v>23.981620019207501</v>
      </c>
      <c r="P39" s="50" t="s">
        <v>484</v>
      </c>
      <c r="Q39" s="51">
        <v>2.0934959349593498</v>
      </c>
      <c r="R39" s="51">
        <v>0.20740312599327737</v>
      </c>
      <c r="S39" s="51">
        <v>1.2508890355684477</v>
      </c>
      <c r="T39" t="s">
        <v>410</v>
      </c>
      <c r="U39">
        <v>1.4</v>
      </c>
      <c r="V39" s="43">
        <v>0.13711799999999999</v>
      </c>
      <c r="W39" s="43">
        <v>0.82553399999999999</v>
      </c>
      <c r="X39" t="s">
        <v>486</v>
      </c>
      <c r="AH39" s="126">
        <f t="shared" si="0"/>
        <v>1.2508890355684477</v>
      </c>
    </row>
    <row r="40" spans="1:34">
      <c r="C40" s="48" t="s">
        <v>487</v>
      </c>
      <c r="G40" s="54">
        <v>755774.07780456543</v>
      </c>
      <c r="H40" s="54">
        <v>730335</v>
      </c>
      <c r="AH40" s="126">
        <f t="shared" si="0"/>
        <v>0</v>
      </c>
    </row>
    <row r="42" spans="1:34">
      <c r="H42" s="53"/>
    </row>
  </sheetData>
  <autoFilter ref="A1:X40" xr:uid="{AFA11D75-C096-4781-84BE-B66422B358D7}">
    <sortState xmlns:xlrd2="http://schemas.microsoft.com/office/spreadsheetml/2017/richdata2" ref="A2:X40">
      <sortCondition ref="A1:A40"/>
    </sortState>
  </autoFilter>
  <hyperlinks>
    <hyperlink ref="T14" r:id="rId1" xr:uid="{98AE74BB-76BE-4617-AB7B-E06BDAB3540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1A63-8D06-4739-891E-5FF872F5DAFA}">
  <dimension ref="A1:AM68"/>
  <sheetViews>
    <sheetView workbookViewId="0">
      <selection activeCell="A2" sqref="A1:K1048576"/>
    </sheetView>
  </sheetViews>
  <sheetFormatPr defaultRowHeight="14.45"/>
  <cols>
    <col min="1" max="1" width="39.85546875" customWidth="1"/>
    <col min="2" max="3" width="11.5703125" bestFit="1" customWidth="1"/>
    <col min="6" max="6" width="4.5703125" customWidth="1"/>
    <col min="7" max="7" width="10.5703125" customWidth="1"/>
    <col min="9" max="9" width="3.7109375" customWidth="1"/>
    <col min="10" max="10" width="9.5703125" bestFit="1" customWidth="1"/>
  </cols>
  <sheetData>
    <row r="1" spans="1:39" ht="15" thickBot="1">
      <c r="A1" s="130" t="s">
        <v>488</v>
      </c>
      <c r="B1" s="131"/>
      <c r="C1" s="131"/>
      <c r="D1" s="131"/>
      <c r="E1" s="131"/>
      <c r="F1" s="131"/>
      <c r="G1" s="131"/>
      <c r="H1" s="131"/>
      <c r="I1" s="131"/>
      <c r="J1" s="131"/>
      <c r="K1" s="132"/>
    </row>
    <row r="2" spans="1:39" ht="72.599999999999994">
      <c r="A2" s="57" t="s">
        <v>429</v>
      </c>
      <c r="B2" s="58" t="s">
        <v>489</v>
      </c>
      <c r="C2" s="58" t="s">
        <v>490</v>
      </c>
      <c r="D2" s="63" t="s">
        <v>491</v>
      </c>
      <c r="E2" s="63" t="s">
        <v>492</v>
      </c>
      <c r="F2" s="58"/>
      <c r="G2" s="59" t="s">
        <v>493</v>
      </c>
      <c r="H2" s="59" t="s">
        <v>494</v>
      </c>
      <c r="I2" s="60"/>
      <c r="J2" s="61" t="s">
        <v>495</v>
      </c>
      <c r="K2" s="62" t="s">
        <v>496</v>
      </c>
      <c r="M2" t="s">
        <v>305</v>
      </c>
      <c r="P2" t="s">
        <v>303</v>
      </c>
      <c r="Q2" t="s">
        <v>0</v>
      </c>
      <c r="R2" t="s">
        <v>304</v>
      </c>
      <c r="S2" t="s">
        <v>305</v>
      </c>
      <c r="T2" t="s">
        <v>306</v>
      </c>
      <c r="U2" t="s">
        <v>307</v>
      </c>
      <c r="V2" t="s">
        <v>308</v>
      </c>
      <c r="W2" t="s">
        <v>415</v>
      </c>
      <c r="X2" t="s">
        <v>416</v>
      </c>
      <c r="Y2" s="47" t="s">
        <v>10</v>
      </c>
      <c r="Z2" s="47" t="s">
        <v>417</v>
      </c>
      <c r="AA2" s="47" t="s">
        <v>418</v>
      </c>
      <c r="AB2" s="44" t="s">
        <v>11</v>
      </c>
      <c r="AC2" t="s">
        <v>419</v>
      </c>
      <c r="AD2" t="s">
        <v>420</v>
      </c>
      <c r="AE2" s="49" t="s">
        <v>421</v>
      </c>
      <c r="AF2" s="49" t="s">
        <v>422</v>
      </c>
      <c r="AG2" s="49" t="s">
        <v>423</v>
      </c>
      <c r="AH2" s="49" t="s">
        <v>424</v>
      </c>
      <c r="AI2" t="s">
        <v>425</v>
      </c>
      <c r="AJ2" t="s">
        <v>426</v>
      </c>
      <c r="AK2" t="s">
        <v>427</v>
      </c>
      <c r="AL2" t="s">
        <v>428</v>
      </c>
      <c r="AM2" t="s">
        <v>429</v>
      </c>
    </row>
    <row r="3" spans="1:39" ht="29.1">
      <c r="A3" s="55" t="s">
        <v>432</v>
      </c>
      <c r="B3" s="86">
        <v>7265</v>
      </c>
      <c r="C3" s="86">
        <v>5524</v>
      </c>
      <c r="D3" s="87">
        <f>C3-B3</f>
        <v>-1741</v>
      </c>
      <c r="E3" s="88">
        <v>-23.964211975223677</v>
      </c>
      <c r="F3" s="89"/>
      <c r="G3" s="90">
        <v>-243.69392697826964</v>
      </c>
      <c r="H3" s="91">
        <v>-4.0109930257229696</v>
      </c>
      <c r="I3" s="89"/>
      <c r="J3" s="92">
        <f>(K3/100)*C3</f>
        <v>44.816212567149805</v>
      </c>
      <c r="K3" s="93">
        <v>0.81130001026701315</v>
      </c>
      <c r="M3">
        <v>1</v>
      </c>
      <c r="O3" t="str">
        <f>_xlfn.CONCAT(S3,"-", T3)</f>
        <v>1-Materials &amp; Processing - Non-Metals</v>
      </c>
      <c r="P3">
        <v>1</v>
      </c>
      <c r="Q3">
        <v>3252</v>
      </c>
      <c r="R3" t="s">
        <v>312</v>
      </c>
      <c r="S3">
        <v>1</v>
      </c>
      <c r="T3" t="s">
        <v>313</v>
      </c>
      <c r="U3" t="s">
        <v>314</v>
      </c>
      <c r="V3" s="44">
        <v>7265</v>
      </c>
      <c r="W3" s="44">
        <v>5524</v>
      </c>
      <c r="X3" s="43">
        <v>-23.964211975223677</v>
      </c>
      <c r="Y3" s="45">
        <v>-243.69392697826964</v>
      </c>
      <c r="Z3" s="46">
        <v>-4.0109930257229696</v>
      </c>
      <c r="AA3" s="46">
        <v>30.698039996918599</v>
      </c>
      <c r="AB3" s="44">
        <v>-1938.5417329647935</v>
      </c>
      <c r="AC3" s="43">
        <v>-2.0536790313111601</v>
      </c>
      <c r="AD3" s="43">
        <v>43.177754290495002</v>
      </c>
      <c r="AE3" s="50" t="s">
        <v>431</v>
      </c>
      <c r="AF3" s="51">
        <v>1.3558201058201058</v>
      </c>
      <c r="AG3" s="51">
        <v>0.13476183297016497</v>
      </c>
      <c r="AH3" s="51">
        <v>0.81130001026701315</v>
      </c>
      <c r="AI3" t="s">
        <v>381</v>
      </c>
      <c r="AJ3">
        <v>2.2000000000000002</v>
      </c>
      <c r="AK3" s="43">
        <v>0.214889</v>
      </c>
      <c r="AL3" s="43">
        <v>1.296278</v>
      </c>
      <c r="AM3" t="s">
        <v>432</v>
      </c>
    </row>
    <row r="4" spans="1:39" ht="29.1">
      <c r="A4" s="55" t="s">
        <v>433</v>
      </c>
      <c r="B4" s="86">
        <v>4874</v>
      </c>
      <c r="C4" s="86">
        <v>4347</v>
      </c>
      <c r="D4" s="87">
        <f t="shared" ref="D4:D11" si="0">C4-B4</f>
        <v>-527</v>
      </c>
      <c r="E4" s="88">
        <v>-10.812474353713581</v>
      </c>
      <c r="F4" s="89"/>
      <c r="G4" s="90">
        <v>-4.4977149770506486</v>
      </c>
      <c r="H4" s="91">
        <v>-9.4631808971093301E-2</v>
      </c>
      <c r="I4" s="89"/>
      <c r="J4" s="92">
        <f t="shared" ref="J4:J11" si="1">(K4/100)*C4</f>
        <v>35.267211446307059</v>
      </c>
      <c r="K4" s="93">
        <v>0.81130001026701315</v>
      </c>
      <c r="M4">
        <v>1</v>
      </c>
      <c r="O4" t="str">
        <f>_xlfn.CONCAT(S4,"-", T4)</f>
        <v>1-Materials &amp; Processing - Coatings &amp; Surface Treatments</v>
      </c>
      <c r="P4">
        <v>2</v>
      </c>
      <c r="Q4">
        <v>3255</v>
      </c>
      <c r="R4" t="s">
        <v>315</v>
      </c>
      <c r="S4">
        <v>1</v>
      </c>
      <c r="T4" t="s">
        <v>316</v>
      </c>
      <c r="U4" t="s">
        <v>314</v>
      </c>
      <c r="V4" s="44">
        <v>4874</v>
      </c>
      <c r="W4" s="44">
        <v>4347</v>
      </c>
      <c r="X4" s="43">
        <v>-10.812474353713581</v>
      </c>
      <c r="Y4" s="45">
        <v>-4.4977149770506486</v>
      </c>
      <c r="Z4" s="46">
        <v>-9.4631808971093301E-2</v>
      </c>
      <c r="AA4" s="46">
        <v>30.436150467131402</v>
      </c>
      <c r="AB4" s="44">
        <v>1967.6245163762901</v>
      </c>
      <c r="AC4" s="43">
        <v>3.0225163031468498</v>
      </c>
      <c r="AD4" s="43">
        <v>42.520780388265997</v>
      </c>
      <c r="AE4" s="50" t="s">
        <v>431</v>
      </c>
      <c r="AF4" s="51">
        <v>1.3558201058201058</v>
      </c>
      <c r="AG4" s="51">
        <v>0.13476183297016497</v>
      </c>
      <c r="AH4" s="51">
        <v>0.81130001026701315</v>
      </c>
      <c r="AI4" t="s">
        <v>382</v>
      </c>
      <c r="AJ4">
        <v>2.2999999999999998</v>
      </c>
      <c r="AK4" s="43">
        <v>0.22161600000000001</v>
      </c>
      <c r="AL4" s="43">
        <v>1.337083</v>
      </c>
      <c r="AM4" t="s">
        <v>433</v>
      </c>
    </row>
    <row r="5" spans="1:39">
      <c r="A5" s="55" t="s">
        <v>435</v>
      </c>
      <c r="B5" s="86">
        <v>36820</v>
      </c>
      <c r="C5" s="86">
        <v>34371</v>
      </c>
      <c r="D5" s="87">
        <f t="shared" si="0"/>
        <v>-2449</v>
      </c>
      <c r="E5" s="88">
        <v>-6.6512764801738191</v>
      </c>
      <c r="F5" s="89"/>
      <c r="G5" s="90">
        <v>-2016.5210339430998</v>
      </c>
      <c r="H5" s="91">
        <v>-5.8367142964990402</v>
      </c>
      <c r="I5" s="89"/>
      <c r="J5" s="92">
        <f t="shared" si="1"/>
        <v>-607.53042662508028</v>
      </c>
      <c r="K5" s="93">
        <v>-1.7675669216056566</v>
      </c>
      <c r="M5">
        <v>1</v>
      </c>
      <c r="O5" t="str">
        <f>_xlfn.CONCAT(S5,"-", T5)</f>
        <v>1-Materials &amp; Processing - Non-Metals</v>
      </c>
      <c r="P5">
        <v>3</v>
      </c>
      <c r="Q5">
        <v>3261</v>
      </c>
      <c r="R5" t="s">
        <v>317</v>
      </c>
      <c r="S5">
        <v>1</v>
      </c>
      <c r="T5" t="s">
        <v>313</v>
      </c>
      <c r="U5" t="s">
        <v>314</v>
      </c>
      <c r="V5" s="44">
        <v>36820</v>
      </c>
      <c r="W5" s="44">
        <v>34371</v>
      </c>
      <c r="X5" s="43">
        <v>-6.6512764801738191</v>
      </c>
      <c r="Y5" s="45">
        <v>-2016.5210339430998</v>
      </c>
      <c r="Z5" s="46">
        <v>-5.8367142964990402</v>
      </c>
      <c r="AA5" s="46">
        <v>17.527795855030401</v>
      </c>
      <c r="AB5" s="44">
        <v>-14636.143870505066</v>
      </c>
      <c r="AC5" s="43">
        <v>-2.4688972476162201</v>
      </c>
      <c r="AD5" s="43">
        <v>26.192716890571301</v>
      </c>
      <c r="AE5" s="50" t="s">
        <v>434</v>
      </c>
      <c r="AF5" s="51">
        <v>-2.9285533956071701</v>
      </c>
      <c r="AG5" s="51">
        <v>-0.29678786828439829</v>
      </c>
      <c r="AH5" s="51">
        <v>-1.7675669216056566</v>
      </c>
      <c r="AI5" t="s">
        <v>383</v>
      </c>
      <c r="AJ5">
        <v>4.4000000000000004</v>
      </c>
      <c r="AK5" s="43">
        <v>0.43525700000000001</v>
      </c>
      <c r="AL5" s="43">
        <v>2.6401249999999998</v>
      </c>
      <c r="AM5" t="s">
        <v>435</v>
      </c>
    </row>
    <row r="6" spans="1:39">
      <c r="A6" s="55" t="s">
        <v>436</v>
      </c>
      <c r="B6" s="86">
        <v>6003</v>
      </c>
      <c r="C6" s="86">
        <v>5147</v>
      </c>
      <c r="D6" s="87">
        <f t="shared" si="0"/>
        <v>-856</v>
      </c>
      <c r="E6" s="88">
        <v>-14.25953689821756</v>
      </c>
      <c r="F6" s="89"/>
      <c r="G6" s="90">
        <v>-671.22842169679052</v>
      </c>
      <c r="H6" s="91">
        <v>-12.9908330570168</v>
      </c>
      <c r="I6" s="89"/>
      <c r="J6" s="92">
        <f t="shared" si="1"/>
        <v>-90.976669455043151</v>
      </c>
      <c r="K6" s="93">
        <v>-1.7675669216056566</v>
      </c>
      <c r="M6">
        <v>1</v>
      </c>
      <c r="O6" t="str">
        <f>_xlfn.CONCAT(S6,"-", T6)</f>
        <v>1-Materials &amp; Processing - Non-Metals</v>
      </c>
      <c r="P6">
        <v>4</v>
      </c>
      <c r="Q6">
        <v>3262</v>
      </c>
      <c r="R6" t="s">
        <v>318</v>
      </c>
      <c r="S6">
        <v>1</v>
      </c>
      <c r="T6" t="s">
        <v>313</v>
      </c>
      <c r="U6" t="s">
        <v>314</v>
      </c>
      <c r="V6" s="44">
        <v>6003</v>
      </c>
      <c r="W6" s="44">
        <v>5147</v>
      </c>
      <c r="X6" s="43">
        <v>-14.25953689821756</v>
      </c>
      <c r="Y6" s="45">
        <v>-671.22842169679052</v>
      </c>
      <c r="Z6" s="46">
        <v>-12.9908330570168</v>
      </c>
      <c r="AA6" s="46">
        <v>1.5819279025673201</v>
      </c>
      <c r="AB6" s="44">
        <v>-13024.755138822016</v>
      </c>
      <c r="AC6" s="43">
        <v>-9.8253893341050897</v>
      </c>
      <c r="AD6" s="43">
        <v>14.7748136301001</v>
      </c>
      <c r="AE6" s="50" t="s">
        <v>434</v>
      </c>
      <c r="AF6" s="51">
        <v>-2.9285533956071701</v>
      </c>
      <c r="AG6" s="51">
        <v>-0.29678786828439829</v>
      </c>
      <c r="AH6" s="51">
        <v>-1.7675669216056566</v>
      </c>
      <c r="AI6" t="s">
        <v>384</v>
      </c>
      <c r="AJ6">
        <v>1.5</v>
      </c>
      <c r="AK6" s="43">
        <v>0.149816</v>
      </c>
      <c r="AL6" s="43">
        <v>0.90226600000000001</v>
      </c>
      <c r="AM6" t="s">
        <v>436</v>
      </c>
    </row>
    <row r="7" spans="1:39">
      <c r="A7" s="55" t="s">
        <v>438</v>
      </c>
      <c r="B7" s="86">
        <v>3185</v>
      </c>
      <c r="C7" s="86">
        <v>2802</v>
      </c>
      <c r="D7" s="87">
        <f t="shared" si="0"/>
        <v>-383</v>
      </c>
      <c r="E7" s="88">
        <v>-12.025117739403454</v>
      </c>
      <c r="F7" s="89"/>
      <c r="G7" s="90">
        <v>-288.03363950911989</v>
      </c>
      <c r="H7" s="91">
        <v>-9.09571418424086</v>
      </c>
      <c r="I7" s="89"/>
      <c r="J7" s="92">
        <f t="shared" si="1"/>
        <v>-73.415870280295323</v>
      </c>
      <c r="K7" s="93">
        <v>-2.6201238501176061</v>
      </c>
      <c r="M7">
        <v>1</v>
      </c>
      <c r="O7" t="str">
        <f>_xlfn.CONCAT(S7,"-", T7)</f>
        <v>1-Materials &amp; Processing - Non-Metals</v>
      </c>
      <c r="P7">
        <v>5</v>
      </c>
      <c r="Q7">
        <v>3272</v>
      </c>
      <c r="R7" t="s">
        <v>319</v>
      </c>
      <c r="S7">
        <v>1</v>
      </c>
      <c r="T7" t="s">
        <v>313</v>
      </c>
      <c r="U7" t="s">
        <v>314</v>
      </c>
      <c r="V7" s="44">
        <v>3185</v>
      </c>
      <c r="W7" s="44">
        <v>2802</v>
      </c>
      <c r="X7" s="43">
        <v>-12.025117739403454</v>
      </c>
      <c r="Y7" s="45">
        <v>-288.03363950911989</v>
      </c>
      <c r="Z7" s="46">
        <v>-9.09571418424086</v>
      </c>
      <c r="AA7" s="46">
        <v>0.33364156486636098</v>
      </c>
      <c r="AB7" s="44">
        <v>-5933.6167403790087</v>
      </c>
      <c r="AC7" s="43">
        <v>-7.6047635621773999</v>
      </c>
      <c r="AD7" s="43">
        <v>1.2109469510741899</v>
      </c>
      <c r="AE7" s="50" t="s">
        <v>437</v>
      </c>
      <c r="AF7" s="51">
        <v>-4.328621908127209</v>
      </c>
      <c r="AG7" s="51">
        <v>-0.44153248417430069</v>
      </c>
      <c r="AH7" s="51">
        <v>-2.6201238501176061</v>
      </c>
      <c r="AI7" t="s">
        <v>385</v>
      </c>
      <c r="AJ7">
        <v>1.6</v>
      </c>
      <c r="AK7" s="43">
        <v>0.15753400000000001</v>
      </c>
      <c r="AL7" s="43">
        <v>0.94893099999999997</v>
      </c>
      <c r="AM7" t="s">
        <v>438</v>
      </c>
    </row>
    <row r="8" spans="1:39" ht="29.1">
      <c r="A8" s="55" t="s">
        <v>440</v>
      </c>
      <c r="B8" s="86">
        <v>5228</v>
      </c>
      <c r="C8" s="86">
        <v>3258</v>
      </c>
      <c r="D8" s="87">
        <f t="shared" si="0"/>
        <v>-1970</v>
      </c>
      <c r="E8" s="88">
        <v>-37.681713848508039</v>
      </c>
      <c r="F8" s="89"/>
      <c r="G8" s="90">
        <v>-569.20618510033</v>
      </c>
      <c r="H8" s="91">
        <v>-16.9713259744825</v>
      </c>
      <c r="I8" s="89"/>
      <c r="J8" s="92">
        <f t="shared" si="1"/>
        <v>-159.11462552077529</v>
      </c>
      <c r="K8" s="93">
        <v>-4.8838129380225688</v>
      </c>
      <c r="M8">
        <v>1</v>
      </c>
      <c r="O8" t="str">
        <f>_xlfn.CONCAT(S8,"-", T8)</f>
        <v>1-Materials &amp; Processing - Metals</v>
      </c>
      <c r="P8">
        <v>6</v>
      </c>
      <c r="Q8">
        <v>3311</v>
      </c>
      <c r="R8" t="s">
        <v>320</v>
      </c>
      <c r="S8">
        <v>1</v>
      </c>
      <c r="T8" t="s">
        <v>321</v>
      </c>
      <c r="U8" t="s">
        <v>314</v>
      </c>
      <c r="V8" s="44">
        <v>5228</v>
      </c>
      <c r="W8" s="44">
        <v>3258</v>
      </c>
      <c r="X8" s="43">
        <v>-37.681713848508039</v>
      </c>
      <c r="Y8" s="45">
        <v>-569.20618510033</v>
      </c>
      <c r="Z8" s="46">
        <v>-16.9713259744825</v>
      </c>
      <c r="AA8" s="46">
        <v>-1.2952958766409499</v>
      </c>
      <c r="AB8" s="44">
        <v>-11758.435938759305</v>
      </c>
      <c r="AC8" s="43">
        <v>-13.757920385631801</v>
      </c>
      <c r="AD8" s="43">
        <v>0.28359820922636703</v>
      </c>
      <c r="AE8" s="50" t="s">
        <v>439</v>
      </c>
      <c r="AF8" s="51">
        <v>-8.0064481461579788</v>
      </c>
      <c r="AG8" s="51">
        <v>-0.83104457233919016</v>
      </c>
      <c r="AH8" s="51">
        <v>-4.8838129380225688</v>
      </c>
      <c r="AI8" t="s">
        <v>386</v>
      </c>
      <c r="AJ8">
        <v>1.5</v>
      </c>
      <c r="AK8" s="43">
        <v>0.150841</v>
      </c>
      <c r="AL8" s="43">
        <v>0.90846700000000002</v>
      </c>
      <c r="AM8" t="s">
        <v>440</v>
      </c>
    </row>
    <row r="9" spans="1:39" ht="29.1">
      <c r="A9" s="55" t="s">
        <v>441</v>
      </c>
      <c r="B9" s="86">
        <v>1790</v>
      </c>
      <c r="C9" s="86">
        <v>1974</v>
      </c>
      <c r="D9" s="87">
        <f t="shared" si="0"/>
        <v>184</v>
      </c>
      <c r="E9" s="88">
        <v>10.279329608938548</v>
      </c>
      <c r="F9" s="89"/>
      <c r="G9" s="90">
        <v>-270.26256690820992</v>
      </c>
      <c r="H9" s="91">
        <v>-15.0072303708902</v>
      </c>
      <c r="I9" s="89"/>
      <c r="J9" s="92">
        <f t="shared" si="1"/>
        <v>-96.406467396565503</v>
      </c>
      <c r="K9" s="93">
        <v>-4.8838129380225688</v>
      </c>
      <c r="M9">
        <v>1</v>
      </c>
      <c r="O9" t="str">
        <f>_xlfn.CONCAT(S9,"-", T9)</f>
        <v>1-Materials &amp; Processing - Metals</v>
      </c>
      <c r="P9">
        <v>7</v>
      </c>
      <c r="Q9">
        <v>3312</v>
      </c>
      <c r="R9" t="s">
        <v>322</v>
      </c>
      <c r="S9">
        <v>1</v>
      </c>
      <c r="T9" t="s">
        <v>321</v>
      </c>
      <c r="U9" t="s">
        <v>314</v>
      </c>
      <c r="V9" s="44">
        <v>1790</v>
      </c>
      <c r="W9" s="44">
        <v>1974</v>
      </c>
      <c r="X9" s="43">
        <v>10.279329608938548</v>
      </c>
      <c r="Y9" s="45">
        <v>-270.26256690820992</v>
      </c>
      <c r="Z9" s="46">
        <v>-15.0072303708902</v>
      </c>
      <c r="AA9" s="46">
        <v>5.6715982207323901</v>
      </c>
      <c r="AB9" s="44">
        <v>-6580.3588830573999</v>
      </c>
      <c r="AC9" s="43">
        <v>-11.0085469846038</v>
      </c>
      <c r="AD9" s="43">
        <v>6.8198304979190798</v>
      </c>
      <c r="AE9" s="50" t="s">
        <v>439</v>
      </c>
      <c r="AF9" s="51">
        <v>-8.0064481461579788</v>
      </c>
      <c r="AG9" s="51">
        <v>-0.83104457233919016</v>
      </c>
      <c r="AH9" s="51">
        <v>-4.8838129380225688</v>
      </c>
      <c r="AI9" t="s">
        <v>387</v>
      </c>
      <c r="AJ9">
        <v>1.9</v>
      </c>
      <c r="AK9" s="43">
        <v>0.18244099999999999</v>
      </c>
      <c r="AL9" s="43">
        <v>1.099653</v>
      </c>
      <c r="AM9" t="s">
        <v>441</v>
      </c>
    </row>
    <row r="10" spans="1:39" ht="29.1">
      <c r="A10" s="55" t="s">
        <v>442</v>
      </c>
      <c r="B10" s="86">
        <v>3436</v>
      </c>
      <c r="C10" s="86">
        <v>2698</v>
      </c>
      <c r="D10" s="87">
        <f t="shared" si="0"/>
        <v>-738</v>
      </c>
      <c r="E10" s="88">
        <v>-21.47846332945285</v>
      </c>
      <c r="F10" s="89"/>
      <c r="G10" s="90">
        <v>-321.65826552178032</v>
      </c>
      <c r="H10" s="91">
        <v>-11.217919509285499</v>
      </c>
      <c r="I10" s="89"/>
      <c r="J10" s="92">
        <f t="shared" si="1"/>
        <v>-131.76527306784891</v>
      </c>
      <c r="K10" s="93">
        <v>-4.8838129380225688</v>
      </c>
      <c r="M10">
        <v>1</v>
      </c>
      <c r="O10" t="str">
        <f>_xlfn.CONCAT(S10,"-", T10)</f>
        <v>1-Materials &amp; Processing - Metals</v>
      </c>
      <c r="P10">
        <v>8</v>
      </c>
      <c r="Q10">
        <v>3313</v>
      </c>
      <c r="R10" t="s">
        <v>323</v>
      </c>
      <c r="S10">
        <v>1</v>
      </c>
      <c r="T10" t="s">
        <v>321</v>
      </c>
      <c r="U10" t="s">
        <v>314</v>
      </c>
      <c r="V10" s="44">
        <v>3436</v>
      </c>
      <c r="W10" s="44">
        <v>2698</v>
      </c>
      <c r="X10" s="43">
        <v>-21.47846332945285</v>
      </c>
      <c r="Y10" s="45">
        <v>-321.65826552178032</v>
      </c>
      <c r="Z10" s="46">
        <v>-11.217919509285499</v>
      </c>
      <c r="AA10" s="46">
        <v>69.160214111368504</v>
      </c>
      <c r="AB10" s="44">
        <v>-4388.9852985316011</v>
      </c>
      <c r="AC10" s="43">
        <v>-7.0804647667538596</v>
      </c>
      <c r="AD10" s="43">
        <v>64.166212339120705</v>
      </c>
      <c r="AE10" s="50" t="s">
        <v>439</v>
      </c>
      <c r="AF10" s="51">
        <v>-8.0064481461579788</v>
      </c>
      <c r="AG10" s="51">
        <v>-0.83104457233919016</v>
      </c>
      <c r="AH10" s="51">
        <v>-4.8838129380225688</v>
      </c>
      <c r="AI10" t="s">
        <v>388</v>
      </c>
      <c r="AJ10">
        <v>-1.5</v>
      </c>
      <c r="AK10" s="43">
        <v>-0.15281700000000001</v>
      </c>
      <c r="AL10" s="43">
        <v>-0.913408</v>
      </c>
      <c r="AM10" t="s">
        <v>442</v>
      </c>
    </row>
    <row r="11" spans="1:39" ht="29.1">
      <c r="A11" s="55" t="s">
        <v>443</v>
      </c>
      <c r="B11" s="86">
        <v>1414</v>
      </c>
      <c r="C11" s="86">
        <v>1262</v>
      </c>
      <c r="D11" s="87">
        <f t="shared" si="0"/>
        <v>-152</v>
      </c>
      <c r="E11" s="88">
        <v>-10.74964639321075</v>
      </c>
      <c r="F11" s="89"/>
      <c r="G11" s="90">
        <v>-205.48259367105004</v>
      </c>
      <c r="H11" s="91">
        <v>-16.721149248860499</v>
      </c>
      <c r="I11" s="89"/>
      <c r="J11" s="92">
        <f t="shared" si="1"/>
        <v>-61.633719277844811</v>
      </c>
      <c r="K11" s="93">
        <v>-4.8838129380225688</v>
      </c>
      <c r="M11">
        <v>1</v>
      </c>
      <c r="O11" t="str">
        <f>_xlfn.CONCAT(S11,"-", T11)</f>
        <v>1-Materials &amp; Processing - Metals</v>
      </c>
      <c r="P11">
        <v>9</v>
      </c>
      <c r="Q11">
        <v>3314</v>
      </c>
      <c r="R11" t="s">
        <v>324</v>
      </c>
      <c r="S11">
        <v>1</v>
      </c>
      <c r="T11" t="s">
        <v>321</v>
      </c>
      <c r="U11" t="s">
        <v>314</v>
      </c>
      <c r="V11" s="44">
        <v>1414</v>
      </c>
      <c r="W11" s="44">
        <v>1262</v>
      </c>
      <c r="X11" s="43">
        <v>-10.74964639321075</v>
      </c>
      <c r="Y11" s="45">
        <v>-205.48259367105004</v>
      </c>
      <c r="Z11" s="46">
        <v>-16.721149248860499</v>
      </c>
      <c r="AA11" s="46">
        <v>60.435169261794897</v>
      </c>
      <c r="AB11" s="44">
        <v>-7698.4036031995938</v>
      </c>
      <c r="AC11" s="43">
        <v>-12.8404271402707</v>
      </c>
      <c r="AD11" s="43">
        <v>56.120495966645798</v>
      </c>
      <c r="AE11" s="50" t="s">
        <v>439</v>
      </c>
      <c r="AF11" s="51">
        <v>-8.0064481461579788</v>
      </c>
      <c r="AG11" s="51">
        <v>-0.83104457233919016</v>
      </c>
      <c r="AH11" s="51">
        <v>-4.8838129380225688</v>
      </c>
      <c r="AI11" t="s">
        <v>389</v>
      </c>
      <c r="AJ11">
        <v>1.8</v>
      </c>
      <c r="AK11" s="43">
        <v>0.174621</v>
      </c>
      <c r="AL11" s="43">
        <v>1.0523130000000001</v>
      </c>
      <c r="AM11" t="s">
        <v>443</v>
      </c>
    </row>
    <row r="12" spans="1:39" ht="29.45" thickBot="1">
      <c r="A12" s="85" t="s">
        <v>445</v>
      </c>
      <c r="B12" s="86">
        <v>13709</v>
      </c>
      <c r="C12" s="86">
        <v>11221</v>
      </c>
      <c r="D12" s="87">
        <f>C12-B12</f>
        <v>-2488</v>
      </c>
      <c r="E12" s="88">
        <v>-18.148661463272305</v>
      </c>
      <c r="F12" s="89"/>
      <c r="G12" s="90">
        <v>-366.02137761200026</v>
      </c>
      <c r="H12" s="91">
        <v>-3.2102769026679301</v>
      </c>
      <c r="I12" s="89"/>
      <c r="J12" s="92">
        <f>(K12/100)*C12</f>
        <v>-293.27338760859743</v>
      </c>
      <c r="K12" s="93">
        <v>-2.6136118671116426</v>
      </c>
      <c r="M12">
        <v>1</v>
      </c>
      <c r="O12" t="str">
        <f>_xlfn.CONCAT(S12,"-", T12)</f>
        <v>1-Materials &amp; Processing - Coatings &amp; Surface Treatments</v>
      </c>
      <c r="P12">
        <v>10</v>
      </c>
      <c r="Q12">
        <v>3328</v>
      </c>
      <c r="R12" t="s">
        <v>331</v>
      </c>
      <c r="S12">
        <v>1</v>
      </c>
      <c r="T12" t="s">
        <v>316</v>
      </c>
      <c r="U12" t="s">
        <v>314</v>
      </c>
      <c r="V12" s="44">
        <v>13709</v>
      </c>
      <c r="W12" s="44">
        <v>11221</v>
      </c>
      <c r="X12" s="43">
        <v>-18.148661463272305</v>
      </c>
      <c r="Y12" s="45">
        <v>-366.02137761200026</v>
      </c>
      <c r="Z12" s="46">
        <v>-3.2102769026679301</v>
      </c>
      <c r="AA12" s="46">
        <v>25.2627738443237</v>
      </c>
      <c r="AB12" s="44">
        <v>-2610.4533293590039</v>
      </c>
      <c r="AC12" s="43">
        <v>-2.01346187754607</v>
      </c>
      <c r="AD12" s="43">
        <v>18.773036960412298</v>
      </c>
      <c r="AE12" s="50" t="s">
        <v>444</v>
      </c>
      <c r="AF12" s="51">
        <v>-4.3179587831207069</v>
      </c>
      <c r="AG12" s="51">
        <v>-0.44042290347771074</v>
      </c>
      <c r="AH12" s="51">
        <v>-2.6136118671116426</v>
      </c>
      <c r="AI12" t="s">
        <v>393</v>
      </c>
      <c r="AJ12">
        <v>-10.6</v>
      </c>
      <c r="AK12" s="43">
        <v>-1.111032</v>
      </c>
      <c r="AL12" s="43">
        <v>-6.4837550000000004</v>
      </c>
      <c r="AM12" t="s">
        <v>445</v>
      </c>
    </row>
    <row r="13" spans="1:39" ht="15" thickBot="1">
      <c r="A13" s="130" t="s">
        <v>497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2"/>
      <c r="O13" t="str">
        <f>_xlfn.CONCAT(S13,"-", T13)</f>
        <v>-</v>
      </c>
      <c r="V13" s="44"/>
      <c r="W13" s="44"/>
      <c r="X13" s="43"/>
      <c r="Y13" s="45"/>
      <c r="Z13" s="46"/>
      <c r="AA13" s="46"/>
      <c r="AB13" s="44"/>
      <c r="AC13" s="43"/>
      <c r="AD13" s="43"/>
      <c r="AE13" s="50"/>
      <c r="AF13" s="51"/>
      <c r="AG13" s="51"/>
      <c r="AH13" s="51"/>
      <c r="AK13" s="43"/>
      <c r="AL13" s="43"/>
    </row>
    <row r="14" spans="1:39" ht="72.599999999999994">
      <c r="A14" s="57" t="s">
        <v>429</v>
      </c>
      <c r="B14" s="58" t="s">
        <v>489</v>
      </c>
      <c r="C14" s="58" t="s">
        <v>490</v>
      </c>
      <c r="D14" s="63" t="s">
        <v>491</v>
      </c>
      <c r="E14" s="63" t="s">
        <v>492</v>
      </c>
      <c r="F14" s="58"/>
      <c r="G14" s="59" t="s">
        <v>493</v>
      </c>
      <c r="H14" s="59" t="s">
        <v>494</v>
      </c>
      <c r="I14" s="60"/>
      <c r="J14" s="61" t="s">
        <v>495</v>
      </c>
      <c r="K14" s="62" t="s">
        <v>496</v>
      </c>
      <c r="M14">
        <v>2</v>
      </c>
      <c r="O14" t="str">
        <f>_xlfn.CONCAT(S14,"-", T14)</f>
        <v>2-Equipment Manufacturing</v>
      </c>
      <c r="P14">
        <v>11</v>
      </c>
      <c r="Q14">
        <v>3335</v>
      </c>
      <c r="R14" t="s">
        <v>333</v>
      </c>
      <c r="S14">
        <v>2</v>
      </c>
      <c r="T14" t="s">
        <v>334</v>
      </c>
      <c r="U14" t="s">
        <v>314</v>
      </c>
      <c r="V14" s="44">
        <v>38331</v>
      </c>
      <c r="W14" s="44">
        <v>29604</v>
      </c>
      <c r="X14" s="43">
        <v>-22.767472802692339</v>
      </c>
      <c r="Y14" s="45">
        <v>-2323.1999060806993</v>
      </c>
      <c r="Z14" s="46">
        <v>-7.81140432737645</v>
      </c>
      <c r="AA14" s="46">
        <v>3.8095865773822699</v>
      </c>
      <c r="AB14" s="44">
        <v>-15555.337722990998</v>
      </c>
      <c r="AC14" s="43">
        <v>-9.9053125788410998</v>
      </c>
      <c r="AD14" s="43">
        <v>5.1381327304017903</v>
      </c>
      <c r="AE14" s="50" t="s">
        <v>446</v>
      </c>
      <c r="AF14" s="51">
        <v>-2.9655473179241167</v>
      </c>
      <c r="AG14" s="51">
        <v>-0.3005882088689682</v>
      </c>
      <c r="AH14" s="51">
        <v>-1.7900304584645754</v>
      </c>
      <c r="AI14" t="s">
        <v>394</v>
      </c>
      <c r="AJ14">
        <v>-6.2</v>
      </c>
      <c r="AK14" s="43">
        <v>-0.63529899999999995</v>
      </c>
      <c r="AL14" s="43">
        <v>-3.7517640000000001</v>
      </c>
      <c r="AM14" t="s">
        <v>447</v>
      </c>
    </row>
    <row r="15" spans="1:39">
      <c r="A15" s="55" t="s">
        <v>447</v>
      </c>
      <c r="B15" s="86">
        <v>38331</v>
      </c>
      <c r="C15" s="86">
        <v>29604</v>
      </c>
      <c r="D15" s="87">
        <f t="shared" ref="D15:D46" si="2">C15-B15</f>
        <v>-8727</v>
      </c>
      <c r="E15" s="88">
        <v>-22.767472802692339</v>
      </c>
      <c r="F15" s="89"/>
      <c r="G15" s="90">
        <v>-2323.1999060806993</v>
      </c>
      <c r="H15" s="91">
        <v>-7.81140432737645</v>
      </c>
      <c r="I15" s="89"/>
      <c r="J15" s="92">
        <f t="shared" ref="J15:J46" si="3">(K15/100)*C15</f>
        <v>-529.92061692385289</v>
      </c>
      <c r="K15" s="94">
        <v>-1.7900304584645754</v>
      </c>
      <c r="M15">
        <v>2</v>
      </c>
      <c r="O15" t="str">
        <f>_xlfn.CONCAT(S15,"-", T15)</f>
        <v>2-Equipment Manufacturing</v>
      </c>
      <c r="P15">
        <v>12</v>
      </c>
      <c r="Q15">
        <v>3339</v>
      </c>
      <c r="R15" t="s">
        <v>337</v>
      </c>
      <c r="S15">
        <v>2</v>
      </c>
      <c r="T15" t="s">
        <v>334</v>
      </c>
      <c r="U15" t="s">
        <v>314</v>
      </c>
      <c r="V15" s="44">
        <v>17093</v>
      </c>
      <c r="W15" s="44">
        <v>17946</v>
      </c>
      <c r="X15" s="43">
        <v>4.9903469256420756</v>
      </c>
      <c r="Y15" s="45">
        <v>184.61068979799933</v>
      </c>
      <c r="Z15" s="46">
        <v>1.05325605359721</v>
      </c>
      <c r="AA15" s="46">
        <v>16.392330019556699</v>
      </c>
      <c r="AB15" s="44">
        <v>1173.9642666630061</v>
      </c>
      <c r="AC15" s="43">
        <v>0.41128542281423103</v>
      </c>
      <c r="AD15" s="43">
        <v>19.540171534778601</v>
      </c>
      <c r="AE15" s="50" t="s">
        <v>446</v>
      </c>
      <c r="AF15" s="51">
        <v>-2.9655473179241167</v>
      </c>
      <c r="AG15" s="51">
        <v>-0.3005882088689682</v>
      </c>
      <c r="AH15" s="51">
        <v>-1.7900304584645754</v>
      </c>
      <c r="AI15" t="s">
        <v>396</v>
      </c>
      <c r="AJ15">
        <v>0.3</v>
      </c>
      <c r="AK15" s="43">
        <v>3.3274999999999999E-2</v>
      </c>
      <c r="AL15" s="43">
        <v>0.19981599999999999</v>
      </c>
      <c r="AM15" t="s">
        <v>448</v>
      </c>
    </row>
    <row r="16" spans="1:39" ht="29.1">
      <c r="A16" s="55" t="s">
        <v>448</v>
      </c>
      <c r="B16" s="86">
        <v>17093</v>
      </c>
      <c r="C16" s="86">
        <v>17946</v>
      </c>
      <c r="D16" s="87">
        <f t="shared" si="2"/>
        <v>853</v>
      </c>
      <c r="E16" s="88">
        <v>4.9903469256420756</v>
      </c>
      <c r="F16" s="89"/>
      <c r="G16" s="90">
        <v>184.61068979799933</v>
      </c>
      <c r="H16" s="91">
        <v>1.05325605359721</v>
      </c>
      <c r="I16" s="89"/>
      <c r="J16" s="92">
        <f t="shared" si="3"/>
        <v>-321.23886607605272</v>
      </c>
      <c r="K16" s="94">
        <v>-1.7900304584645754</v>
      </c>
      <c r="L16" s="48"/>
      <c r="M16">
        <v>3</v>
      </c>
      <c r="N16" s="43"/>
      <c r="O16" t="str">
        <f>_xlfn.CONCAT(S16,"-", T16)</f>
        <v>3-Forging &amp; Foundries</v>
      </c>
      <c r="P16">
        <v>13</v>
      </c>
      <c r="Q16">
        <v>3315</v>
      </c>
      <c r="R16" t="s">
        <v>325</v>
      </c>
      <c r="S16">
        <v>3</v>
      </c>
      <c r="T16" t="s">
        <v>326</v>
      </c>
      <c r="U16" t="s">
        <v>314</v>
      </c>
      <c r="V16" s="44">
        <v>10846</v>
      </c>
      <c r="W16" s="44">
        <v>9349</v>
      </c>
      <c r="X16" s="43">
        <v>-13.802323437211875</v>
      </c>
      <c r="Y16" s="45">
        <v>-2090.5750047369606</v>
      </c>
      <c r="Z16" s="46">
        <v>-22.873946076107899</v>
      </c>
      <c r="AA16" s="46">
        <v>59.158420125738502</v>
      </c>
      <c r="AB16" s="44">
        <v>-18952.379464613499</v>
      </c>
      <c r="AC16" s="43">
        <v>-17.889448262340299</v>
      </c>
      <c r="AD16" s="43">
        <v>59.9526386019688</v>
      </c>
      <c r="AE16" s="50" t="s">
        <v>439</v>
      </c>
      <c r="AF16" s="51">
        <v>-8.0064481461579788</v>
      </c>
      <c r="AG16" s="51">
        <v>-0.83104457233919016</v>
      </c>
      <c r="AH16" s="51">
        <v>-4.8838129380225688</v>
      </c>
      <c r="AI16" s="52" t="s">
        <v>390</v>
      </c>
      <c r="AJ16">
        <v>-14.7</v>
      </c>
      <c r="AK16" s="43">
        <v>-1.5793440000000001</v>
      </c>
      <c r="AL16" s="43">
        <v>-9.1097000000000001</v>
      </c>
      <c r="AM16" t="s">
        <v>449</v>
      </c>
    </row>
    <row r="17" spans="1:39">
      <c r="A17" s="55" t="s">
        <v>449</v>
      </c>
      <c r="B17" s="86">
        <v>10846</v>
      </c>
      <c r="C17" s="86">
        <v>9349</v>
      </c>
      <c r="D17" s="87">
        <f t="shared" si="2"/>
        <v>-1497</v>
      </c>
      <c r="E17" s="88">
        <v>-13.802323437211875</v>
      </c>
      <c r="F17" s="89"/>
      <c r="G17" s="90">
        <v>-2090.5750047369606</v>
      </c>
      <c r="H17" s="95">
        <v>-22.873946076107899</v>
      </c>
      <c r="I17" s="96"/>
      <c r="J17" s="92">
        <f t="shared" si="3"/>
        <v>-456.58767157572993</v>
      </c>
      <c r="K17" s="94">
        <v>-4.8838129380225688</v>
      </c>
      <c r="L17" s="43"/>
      <c r="M17">
        <v>3</v>
      </c>
      <c r="N17" s="43"/>
      <c r="O17" t="str">
        <f>_xlfn.CONCAT(S17,"-", T17)</f>
        <v>3-Forging &amp; Foundries</v>
      </c>
      <c r="P17">
        <v>14</v>
      </c>
      <c r="Q17">
        <v>3321</v>
      </c>
      <c r="R17" t="s">
        <v>327</v>
      </c>
      <c r="S17">
        <v>3</v>
      </c>
      <c r="T17" t="s">
        <v>326</v>
      </c>
      <c r="U17" t="s">
        <v>314</v>
      </c>
      <c r="V17" s="44">
        <v>8431</v>
      </c>
      <c r="W17" s="44">
        <v>6988</v>
      </c>
      <c r="X17" s="43">
        <v>-17.115407424979242</v>
      </c>
      <c r="Y17" s="45">
        <v>-306.79522224683001</v>
      </c>
      <c r="Z17" s="46">
        <v>-4.2154450149616398</v>
      </c>
      <c r="AA17" s="46">
        <v>20.671709925631902</v>
      </c>
      <c r="AB17" s="44">
        <v>-2186.9731037197935</v>
      </c>
      <c r="AC17" s="43">
        <v>-2.4076768114346301</v>
      </c>
      <c r="AD17" s="43">
        <v>14.1231170472399</v>
      </c>
      <c r="AE17" s="50" t="s">
        <v>444</v>
      </c>
      <c r="AF17" s="51">
        <v>-4.3179587831207069</v>
      </c>
      <c r="AG17" s="51">
        <v>-0.44042290347771074</v>
      </c>
      <c r="AH17" s="51">
        <v>-2.6136118671116426</v>
      </c>
      <c r="AI17" t="s">
        <v>391</v>
      </c>
      <c r="AJ17">
        <v>-9.5</v>
      </c>
      <c r="AK17" s="43">
        <v>-0.99695699999999998</v>
      </c>
      <c r="AL17" s="43">
        <v>-5.8346200000000001</v>
      </c>
      <c r="AM17" t="s">
        <v>450</v>
      </c>
    </row>
    <row r="18" spans="1:39">
      <c r="A18" s="55" t="s">
        <v>450</v>
      </c>
      <c r="B18" s="86">
        <v>8431</v>
      </c>
      <c r="C18" s="86">
        <v>6988</v>
      </c>
      <c r="D18" s="87">
        <f t="shared" si="2"/>
        <v>-1443</v>
      </c>
      <c r="E18" s="88">
        <v>-17.115407424979242</v>
      </c>
      <c r="F18" s="89"/>
      <c r="G18" s="90">
        <v>-306.79522224683001</v>
      </c>
      <c r="H18" s="95">
        <v>-4.2154450149616398</v>
      </c>
      <c r="I18" s="96"/>
      <c r="J18" s="92">
        <f t="shared" si="3"/>
        <v>-182.6391972737616</v>
      </c>
      <c r="K18" s="94">
        <v>-2.6136118671116426</v>
      </c>
      <c r="L18" s="43"/>
      <c r="M18">
        <v>4</v>
      </c>
      <c r="N18" s="43"/>
      <c r="O18" t="str">
        <f>_xlfn.CONCAT(S18,"-", T18)</f>
        <v>4-Parts &amp; Machining</v>
      </c>
      <c r="P18">
        <v>15</v>
      </c>
      <c r="Q18">
        <v>3326</v>
      </c>
      <c r="R18" t="s">
        <v>328</v>
      </c>
      <c r="S18">
        <v>4</v>
      </c>
      <c r="T18" t="s">
        <v>329</v>
      </c>
      <c r="U18" t="s">
        <v>314</v>
      </c>
      <c r="V18" s="44">
        <v>3444</v>
      </c>
      <c r="W18" s="44">
        <v>2869</v>
      </c>
      <c r="X18" s="43">
        <v>-16.695702671312425</v>
      </c>
      <c r="Y18" s="45">
        <v>-44.482158371999873</v>
      </c>
      <c r="Z18" s="46">
        <v>-1.31378196920688</v>
      </c>
      <c r="AA18" s="46">
        <v>13.027319100230301</v>
      </c>
      <c r="AB18" s="44">
        <v>220.0362738830961</v>
      </c>
      <c r="AC18" s="43">
        <v>0.52343323213800097</v>
      </c>
      <c r="AD18" s="43">
        <v>6.72532202320268</v>
      </c>
      <c r="AE18" s="50" t="s">
        <v>444</v>
      </c>
      <c r="AF18" s="51">
        <v>-4.3179587831207069</v>
      </c>
      <c r="AG18" s="51">
        <v>-0.44042290347771074</v>
      </c>
      <c r="AH18" s="51">
        <v>-2.6136118671116426</v>
      </c>
      <c r="AI18" t="s">
        <v>391</v>
      </c>
      <c r="AJ18">
        <v>-9.5</v>
      </c>
      <c r="AK18" s="43">
        <v>-0.99695699999999998</v>
      </c>
      <c r="AL18" s="43">
        <v>-5.8346200000000001</v>
      </c>
      <c r="AM18" t="s">
        <v>451</v>
      </c>
    </row>
    <row r="19" spans="1:39">
      <c r="A19" s="55" t="s">
        <v>451</v>
      </c>
      <c r="B19" s="86">
        <v>3444</v>
      </c>
      <c r="C19" s="86">
        <v>2869</v>
      </c>
      <c r="D19" s="87">
        <f t="shared" si="2"/>
        <v>-575</v>
      </c>
      <c r="E19" s="88">
        <v>-16.695702671312425</v>
      </c>
      <c r="F19" s="89"/>
      <c r="G19" s="90">
        <v>-44.482158371999873</v>
      </c>
      <c r="H19" s="95">
        <v>-1.31378196920688</v>
      </c>
      <c r="I19" s="96"/>
      <c r="J19" s="92">
        <f t="shared" si="3"/>
        <v>-74.984524467433033</v>
      </c>
      <c r="K19" s="94">
        <v>-2.6136118671116426</v>
      </c>
      <c r="L19" s="43"/>
      <c r="M19">
        <v>4</v>
      </c>
      <c r="N19" s="43"/>
      <c r="O19" t="str">
        <f>_xlfn.CONCAT(S19,"-", T19)</f>
        <v>4-Parts &amp; Machining</v>
      </c>
      <c r="P19">
        <v>16</v>
      </c>
      <c r="Q19">
        <v>3327</v>
      </c>
      <c r="R19" t="s">
        <v>330</v>
      </c>
      <c r="S19">
        <v>4</v>
      </c>
      <c r="T19" t="s">
        <v>329</v>
      </c>
      <c r="U19" t="s">
        <v>314</v>
      </c>
      <c r="V19" s="44">
        <v>28818</v>
      </c>
      <c r="W19" s="44">
        <v>24530</v>
      </c>
      <c r="X19" s="43">
        <v>-14.879589145672846</v>
      </c>
      <c r="Y19" s="45">
        <v>-1626.5911640866016</v>
      </c>
      <c r="Z19" s="46">
        <v>-6.6123205534729399</v>
      </c>
      <c r="AA19" s="46">
        <v>22.522798921317001</v>
      </c>
      <c r="AB19" s="44">
        <v>-21806.089760143037</v>
      </c>
      <c r="AC19" s="43">
        <v>-6.5470645497125899</v>
      </c>
      <c r="AD19" s="43">
        <v>16.412176145070799</v>
      </c>
      <c r="AE19" s="50" t="s">
        <v>444</v>
      </c>
      <c r="AF19" s="51">
        <v>-4.3179587831207069</v>
      </c>
      <c r="AG19" s="51">
        <v>-0.44042290347771074</v>
      </c>
      <c r="AH19" s="51">
        <v>-2.6136118671116426</v>
      </c>
      <c r="AI19" t="s">
        <v>392</v>
      </c>
      <c r="AJ19">
        <v>-4</v>
      </c>
      <c r="AK19" s="43">
        <v>-0.40962999999999999</v>
      </c>
      <c r="AL19" s="43">
        <v>-2.4327459999999999</v>
      </c>
      <c r="AM19" t="s">
        <v>452</v>
      </c>
    </row>
    <row r="20" spans="1:39" ht="29.1">
      <c r="A20" s="55" t="s">
        <v>452</v>
      </c>
      <c r="B20" s="86">
        <v>28818</v>
      </c>
      <c r="C20" s="86">
        <v>24530</v>
      </c>
      <c r="D20" s="87">
        <f t="shared" si="2"/>
        <v>-4288</v>
      </c>
      <c r="E20" s="88">
        <v>-14.879589145672846</v>
      </c>
      <c r="F20" s="89"/>
      <c r="G20" s="90">
        <v>-1626.5911640866016</v>
      </c>
      <c r="H20" s="95">
        <v>-6.6123205534729399</v>
      </c>
      <c r="I20" s="96"/>
      <c r="J20" s="92">
        <f t="shared" si="3"/>
        <v>-641.11899100248593</v>
      </c>
      <c r="K20" s="94">
        <v>-2.6136118671116426</v>
      </c>
      <c r="L20" s="43"/>
      <c r="M20">
        <v>4</v>
      </c>
      <c r="N20" s="43"/>
      <c r="O20" t="str">
        <f>_xlfn.CONCAT(S20,"-", T20)</f>
        <v>4-Parts &amp; Machining</v>
      </c>
      <c r="P20">
        <v>17</v>
      </c>
      <c r="Q20">
        <v>3329</v>
      </c>
      <c r="R20" t="s">
        <v>332</v>
      </c>
      <c r="S20">
        <v>4</v>
      </c>
      <c r="T20" t="s">
        <v>329</v>
      </c>
      <c r="U20" t="s">
        <v>314</v>
      </c>
      <c r="V20" s="44">
        <v>11286</v>
      </c>
      <c r="W20" s="44">
        <v>10865</v>
      </c>
      <c r="X20" s="43">
        <v>-3.7302853092326775</v>
      </c>
      <c r="Y20" s="45">
        <v>-91.435938772299608</v>
      </c>
      <c r="Z20" s="46">
        <v>-0.87041644695290099</v>
      </c>
      <c r="AA20" s="46">
        <v>27.6554271172852</v>
      </c>
      <c r="AB20" s="44">
        <v>-729.76798400196685</v>
      </c>
      <c r="AC20" s="43">
        <v>-0.26634720515549098</v>
      </c>
      <c r="AD20" s="43">
        <v>21.282736240132799</v>
      </c>
      <c r="AE20" s="50" t="s">
        <v>444</v>
      </c>
      <c r="AF20" s="51">
        <v>-4.3179587831207069</v>
      </c>
      <c r="AG20" s="51">
        <v>-0.44042290347771074</v>
      </c>
      <c r="AH20" s="51">
        <v>-2.6136118671116426</v>
      </c>
      <c r="AI20" t="s">
        <v>391</v>
      </c>
      <c r="AJ20">
        <v>-9.5</v>
      </c>
      <c r="AK20" s="43">
        <v>-0.99695699999999998</v>
      </c>
      <c r="AL20" s="43">
        <v>-5.8346200000000001</v>
      </c>
      <c r="AM20" t="s">
        <v>453</v>
      </c>
    </row>
    <row r="21" spans="1:39" ht="29.1">
      <c r="A21" s="55" t="s">
        <v>453</v>
      </c>
      <c r="B21" s="86">
        <v>11286</v>
      </c>
      <c r="C21" s="86">
        <v>10865</v>
      </c>
      <c r="D21" s="87">
        <f t="shared" si="2"/>
        <v>-421</v>
      </c>
      <c r="E21" s="88">
        <v>-3.7302853092326775</v>
      </c>
      <c r="F21" s="89"/>
      <c r="G21" s="90">
        <v>-91.435938772299608</v>
      </c>
      <c r="H21" s="95">
        <v>-0.87041644695290099</v>
      </c>
      <c r="I21" s="96"/>
      <c r="J21" s="92">
        <f t="shared" si="3"/>
        <v>-283.96892936167995</v>
      </c>
      <c r="K21" s="94">
        <v>-2.6136118671116426</v>
      </c>
      <c r="L21" s="43"/>
      <c r="M21">
        <v>4</v>
      </c>
      <c r="N21" s="43"/>
      <c r="O21" t="str">
        <f>_xlfn.CONCAT(S21,"-", T21)</f>
        <v>4-Parts &amp; Machining</v>
      </c>
      <c r="P21">
        <v>18</v>
      </c>
      <c r="Q21">
        <v>3344</v>
      </c>
      <c r="R21" t="s">
        <v>338</v>
      </c>
      <c r="S21">
        <v>4</v>
      </c>
      <c r="T21" t="s">
        <v>329</v>
      </c>
      <c r="U21" t="s">
        <v>314</v>
      </c>
      <c r="V21" s="44">
        <v>10170</v>
      </c>
      <c r="W21" s="44">
        <v>12179</v>
      </c>
      <c r="X21" s="43">
        <v>19.754178957718782</v>
      </c>
      <c r="Y21" s="45">
        <v>-348.08163597269902</v>
      </c>
      <c r="Z21" s="46">
        <v>-3.0497183265857202</v>
      </c>
      <c r="AA21" s="46">
        <v>53.400435613890203</v>
      </c>
      <c r="AB21" s="44">
        <v>-14937.575166155</v>
      </c>
      <c r="AC21" s="43">
        <v>-3.8069640682947501</v>
      </c>
      <c r="AD21" s="43">
        <v>49.314758438121203</v>
      </c>
      <c r="AE21" s="50" t="s">
        <v>454</v>
      </c>
      <c r="AF21" s="51">
        <v>2.7527289985761745</v>
      </c>
      <c r="AG21" s="51">
        <v>0.27192130345803367</v>
      </c>
      <c r="AH21" s="51">
        <v>1.6426592945104623</v>
      </c>
      <c r="AI21" t="s">
        <v>397</v>
      </c>
      <c r="AJ21">
        <v>11.4</v>
      </c>
      <c r="AK21" s="43">
        <v>1.080279</v>
      </c>
      <c r="AL21" s="43">
        <v>6.6592669999999998</v>
      </c>
      <c r="AM21" t="s">
        <v>455</v>
      </c>
    </row>
    <row r="22" spans="1:39" ht="29.45" thickBot="1">
      <c r="A22" s="55" t="s">
        <v>455</v>
      </c>
      <c r="B22" s="86">
        <v>10170</v>
      </c>
      <c r="C22" s="86">
        <v>12179</v>
      </c>
      <c r="D22" s="87">
        <f t="shared" si="2"/>
        <v>2009</v>
      </c>
      <c r="E22" s="88">
        <v>19.754178957718782</v>
      </c>
      <c r="F22" s="89"/>
      <c r="G22" s="90">
        <v>-348.08163597269902</v>
      </c>
      <c r="H22" s="95">
        <v>-3.0497183265857202</v>
      </c>
      <c r="I22" s="96"/>
      <c r="J22" s="92">
        <f t="shared" si="3"/>
        <v>200.05947547842922</v>
      </c>
      <c r="K22" s="94">
        <v>1.6426592945104623</v>
      </c>
      <c r="L22" s="43"/>
      <c r="M22">
        <v>5</v>
      </c>
      <c r="N22" s="43"/>
      <c r="O22" t="str">
        <f>_xlfn.CONCAT(S22,"-", T22)</f>
        <v>5-Component Systems</v>
      </c>
      <c r="P22">
        <v>19</v>
      </c>
      <c r="Q22">
        <v>3336</v>
      </c>
      <c r="R22" t="s">
        <v>335</v>
      </c>
      <c r="S22">
        <v>5</v>
      </c>
      <c r="T22" t="s">
        <v>336</v>
      </c>
      <c r="U22" t="s">
        <v>314</v>
      </c>
      <c r="V22" s="44">
        <v>4502</v>
      </c>
      <c r="W22" s="44">
        <v>4970</v>
      </c>
      <c r="X22" s="43">
        <v>10.395379831186141</v>
      </c>
      <c r="Y22" s="45">
        <v>-213.98573301383993</v>
      </c>
      <c r="Z22" s="46">
        <v>-4.4646054436007701</v>
      </c>
      <c r="AA22" s="46">
        <v>11.3588468666305</v>
      </c>
      <c r="AB22" s="44">
        <v>-2884.2823934458011</v>
      </c>
      <c r="AC22" s="43">
        <v>-3.1070894461090499</v>
      </c>
      <c r="AD22" s="43">
        <v>15.203474314536701</v>
      </c>
      <c r="AE22" s="50" t="s">
        <v>446</v>
      </c>
      <c r="AF22" s="51">
        <v>-2.9655473179241167</v>
      </c>
      <c r="AG22" s="51">
        <v>-0.3005882088689682</v>
      </c>
      <c r="AH22" s="51">
        <v>-1.7900304584645754</v>
      </c>
      <c r="AI22" t="s">
        <v>395</v>
      </c>
      <c r="AJ22">
        <v>-4.8</v>
      </c>
      <c r="AK22" s="43">
        <v>-0.48456900000000003</v>
      </c>
      <c r="AL22" s="43">
        <v>-2.8724189999999998</v>
      </c>
      <c r="AM22" t="s">
        <v>456</v>
      </c>
    </row>
    <row r="23" spans="1:39" ht="15" thickBot="1">
      <c r="A23" s="130" t="s">
        <v>498</v>
      </c>
      <c r="B23" s="131"/>
      <c r="C23" s="131"/>
      <c r="D23" s="131"/>
      <c r="E23" s="131"/>
      <c r="F23" s="131"/>
      <c r="G23" s="131"/>
      <c r="H23" s="131"/>
      <c r="I23" s="131"/>
      <c r="J23" s="131"/>
      <c r="K23" s="132"/>
      <c r="L23" s="43"/>
      <c r="M23">
        <v>5</v>
      </c>
      <c r="N23" s="43"/>
      <c r="O23" t="str">
        <f>_xlfn.CONCAT(S23,"-", T23)</f>
        <v>5-Component Systems</v>
      </c>
      <c r="P23">
        <v>20</v>
      </c>
      <c r="Q23">
        <v>3345</v>
      </c>
      <c r="R23" t="s">
        <v>339</v>
      </c>
      <c r="S23">
        <v>5</v>
      </c>
      <c r="T23" t="s">
        <v>336</v>
      </c>
      <c r="U23" t="s">
        <v>314</v>
      </c>
      <c r="V23" s="44">
        <v>9027</v>
      </c>
      <c r="W23" s="44">
        <v>8867</v>
      </c>
      <c r="X23" s="43">
        <v>-1.7724603965880139</v>
      </c>
      <c r="Y23" s="45">
        <v>-266.19142940051967</v>
      </c>
      <c r="Z23" s="46">
        <v>-2.7267026208773602</v>
      </c>
      <c r="AA23" s="46">
        <v>19.409224378571899</v>
      </c>
      <c r="AB23" s="44">
        <v>-1582.1969862159904</v>
      </c>
      <c r="AC23" s="43">
        <v>-0.38336154602005801</v>
      </c>
      <c r="AD23" s="43">
        <v>18.9166139219234</v>
      </c>
      <c r="AE23" s="50" t="s">
        <v>454</v>
      </c>
      <c r="AF23" s="51">
        <v>2.7527289985761745</v>
      </c>
      <c r="AG23" s="51">
        <v>0.27192130345803367</v>
      </c>
      <c r="AH23" s="51">
        <v>1.6426592945104623</v>
      </c>
      <c r="AI23" t="s">
        <v>398</v>
      </c>
      <c r="AJ23">
        <v>3.4</v>
      </c>
      <c r="AK23" s="43">
        <v>0.33431899999999998</v>
      </c>
      <c r="AL23" s="43">
        <v>2.0227560000000002</v>
      </c>
      <c r="AM23" t="s">
        <v>457</v>
      </c>
    </row>
    <row r="24" spans="1:39" ht="72.599999999999994">
      <c r="A24" s="64" t="s">
        <v>429</v>
      </c>
      <c r="B24" s="65" t="s">
        <v>489</v>
      </c>
      <c r="C24" s="65" t="s">
        <v>490</v>
      </c>
      <c r="D24" s="66" t="s">
        <v>491</v>
      </c>
      <c r="E24" s="66" t="s">
        <v>492</v>
      </c>
      <c r="F24" s="65"/>
      <c r="G24" s="67" t="s">
        <v>493</v>
      </c>
      <c r="H24" s="67" t="s">
        <v>494</v>
      </c>
      <c r="I24" s="68"/>
      <c r="J24" s="69" t="s">
        <v>495</v>
      </c>
      <c r="K24" s="70" t="s">
        <v>496</v>
      </c>
      <c r="L24" s="43"/>
      <c r="M24">
        <v>5</v>
      </c>
      <c r="N24" s="43"/>
      <c r="O24" t="str">
        <f>_xlfn.CONCAT(S24,"-", T24)</f>
        <v>5-Component Systems</v>
      </c>
      <c r="P24">
        <v>21</v>
      </c>
      <c r="Q24">
        <v>3359</v>
      </c>
      <c r="R24" t="s">
        <v>340</v>
      </c>
      <c r="S24">
        <v>5</v>
      </c>
      <c r="T24" t="s">
        <v>336</v>
      </c>
      <c r="U24" t="s">
        <v>314</v>
      </c>
      <c r="V24" s="44">
        <v>3847</v>
      </c>
      <c r="W24" s="44">
        <v>4446</v>
      </c>
      <c r="X24" s="43">
        <v>15.570574473615807</v>
      </c>
      <c r="Y24" s="45">
        <v>93.82188671687075</v>
      </c>
      <c r="Z24" s="46">
        <v>2.12626314774647</v>
      </c>
      <c r="AA24" s="46">
        <v>16.300083474445</v>
      </c>
      <c r="AB24" s="44">
        <v>-4525.2941919110017</v>
      </c>
      <c r="AC24" s="43">
        <v>-2.7262439502632199</v>
      </c>
      <c r="AD24" s="43">
        <v>28.297430756693501</v>
      </c>
      <c r="AE24" s="50" t="s">
        <v>458</v>
      </c>
      <c r="AF24" s="51">
        <v>10.719424460431656</v>
      </c>
      <c r="AG24" s="51">
        <v>1.0234933036722849</v>
      </c>
      <c r="AH24" s="51">
        <v>6.300251428357484</v>
      </c>
      <c r="AI24" t="s">
        <v>399</v>
      </c>
      <c r="AJ24">
        <v>29.2</v>
      </c>
      <c r="AK24" s="43">
        <v>2.595761</v>
      </c>
      <c r="AL24" s="43">
        <v>16.620929</v>
      </c>
      <c r="AM24" t="s">
        <v>459</v>
      </c>
    </row>
    <row r="25" spans="1:39" ht="29.1">
      <c r="A25" s="55" t="s">
        <v>456</v>
      </c>
      <c r="B25" s="86">
        <v>4502</v>
      </c>
      <c r="C25" s="86">
        <v>4970</v>
      </c>
      <c r="D25" s="87">
        <f t="shared" si="2"/>
        <v>468</v>
      </c>
      <c r="E25" s="88">
        <v>10.395379831186141</v>
      </c>
      <c r="F25" s="89"/>
      <c r="G25" s="90">
        <v>-213.98573301383993</v>
      </c>
      <c r="H25" s="95">
        <v>-4.4646054436007701</v>
      </c>
      <c r="I25" s="96"/>
      <c r="J25" s="92">
        <f t="shared" si="3"/>
        <v>-88.964513785689405</v>
      </c>
      <c r="K25" s="94">
        <v>-1.7900304584645754</v>
      </c>
      <c r="L25" s="43"/>
      <c r="M25">
        <v>6</v>
      </c>
      <c r="N25" s="43"/>
      <c r="O25" t="str">
        <f>_xlfn.CONCAT(S25,"-", T25)</f>
        <v>6-Engineering &amp; Design</v>
      </c>
      <c r="P25">
        <v>22</v>
      </c>
      <c r="Q25">
        <v>5413</v>
      </c>
      <c r="R25" t="s">
        <v>210</v>
      </c>
      <c r="S25">
        <v>6</v>
      </c>
      <c r="T25" t="s">
        <v>360</v>
      </c>
      <c r="U25" t="s">
        <v>343</v>
      </c>
      <c r="V25" s="44">
        <v>86547</v>
      </c>
      <c r="W25" s="44">
        <v>84452</v>
      </c>
      <c r="X25" s="43">
        <v>-2.420650051417149</v>
      </c>
      <c r="Y25" s="45">
        <v>2324.5895906345027</v>
      </c>
      <c r="Z25" s="46">
        <v>2.7275866775772299</v>
      </c>
      <c r="AA25" s="46">
        <v>36.428818923246297</v>
      </c>
      <c r="AB25" s="44">
        <v>133335.86644556999</v>
      </c>
      <c r="AC25" s="43">
        <v>7.8290483000037296</v>
      </c>
      <c r="AD25" s="43">
        <v>40.665276716033901</v>
      </c>
      <c r="AE25" s="50" t="s">
        <v>460</v>
      </c>
      <c r="AF25" s="51">
        <v>3.1959345002823261</v>
      </c>
      <c r="AG25" s="51">
        <v>0.31508808127886923</v>
      </c>
      <c r="AH25" s="51">
        <v>1.9054832747573913</v>
      </c>
      <c r="AI25" t="s">
        <v>411</v>
      </c>
      <c r="AJ25">
        <v>3.9</v>
      </c>
      <c r="AK25" s="43">
        <v>0.38706000000000002</v>
      </c>
      <c r="AL25" s="43">
        <v>2.3449490000000002</v>
      </c>
      <c r="AM25" t="s">
        <v>461</v>
      </c>
    </row>
    <row r="26" spans="1:39" ht="29.1">
      <c r="A26" s="55" t="s">
        <v>457</v>
      </c>
      <c r="B26" s="86">
        <v>9027</v>
      </c>
      <c r="C26" s="86">
        <v>8867</v>
      </c>
      <c r="D26" s="87">
        <f t="shared" si="2"/>
        <v>-160</v>
      </c>
      <c r="E26" s="88">
        <v>-1.7724603965880139</v>
      </c>
      <c r="F26" s="89"/>
      <c r="G26" s="90">
        <v>-266.19142940051967</v>
      </c>
      <c r="H26" s="95">
        <v>-2.7267026208773602</v>
      </c>
      <c r="I26" s="96"/>
      <c r="J26" s="92">
        <f t="shared" si="3"/>
        <v>145.65459964424269</v>
      </c>
      <c r="K26" s="94">
        <v>1.6426592945104623</v>
      </c>
      <c r="L26" s="43"/>
      <c r="M26">
        <v>6</v>
      </c>
      <c r="O26" t="str">
        <f>_xlfn.CONCAT(S26,"-", T26)</f>
        <v>6-Engineering &amp; Design</v>
      </c>
      <c r="P26">
        <v>23</v>
      </c>
      <c r="Q26">
        <v>5414</v>
      </c>
      <c r="R26" t="s">
        <v>212</v>
      </c>
      <c r="S26">
        <v>6</v>
      </c>
      <c r="T26" t="s">
        <v>360</v>
      </c>
      <c r="U26" t="s">
        <v>343</v>
      </c>
      <c r="V26" s="44">
        <v>8632</v>
      </c>
      <c r="W26" s="44">
        <v>10458</v>
      </c>
      <c r="X26" s="43">
        <v>21.153846153846153</v>
      </c>
      <c r="Y26" s="45">
        <v>-208.79741067109947</v>
      </c>
      <c r="Z26" s="46">
        <v>-2.0096726335445299</v>
      </c>
      <c r="AA26" s="46">
        <v>14.621598286318401</v>
      </c>
      <c r="AB26" s="44">
        <v>-330.405721451001</v>
      </c>
      <c r="AC26" s="43">
        <v>-0.21873930208082401</v>
      </c>
      <c r="AD26" s="43">
        <v>17.056131645841301</v>
      </c>
      <c r="AE26" s="50" t="s">
        <v>462</v>
      </c>
      <c r="AF26" s="51">
        <v>18.348623853211009</v>
      </c>
      <c r="AG26" s="51">
        <v>1.6989153902162268</v>
      </c>
      <c r="AH26" s="51">
        <v>10.636372385316406</v>
      </c>
      <c r="AI26" t="s">
        <v>412</v>
      </c>
      <c r="AJ26">
        <v>3.8</v>
      </c>
      <c r="AK26" s="43">
        <v>0.37737799999999999</v>
      </c>
      <c r="AL26" s="43">
        <v>2.285739</v>
      </c>
      <c r="AM26" t="s">
        <v>463</v>
      </c>
    </row>
    <row r="27" spans="1:39" ht="29.1">
      <c r="A27" s="55" t="s">
        <v>459</v>
      </c>
      <c r="B27" s="86">
        <v>3847</v>
      </c>
      <c r="C27" s="86">
        <v>4446</v>
      </c>
      <c r="D27" s="87">
        <f t="shared" si="2"/>
        <v>599</v>
      </c>
      <c r="E27" s="88">
        <v>15.570574473615807</v>
      </c>
      <c r="F27" s="89"/>
      <c r="G27" s="90">
        <v>93.82188671687075</v>
      </c>
      <c r="H27" s="95">
        <v>2.12626314774647</v>
      </c>
      <c r="I27" s="96"/>
      <c r="J27" s="92">
        <f t="shared" si="3"/>
        <v>280.10917850477375</v>
      </c>
      <c r="K27" s="94">
        <v>6.300251428357484</v>
      </c>
      <c r="M27">
        <v>6</v>
      </c>
      <c r="O27" t="str">
        <f>_xlfn.CONCAT(S27,"-", T27)</f>
        <v>6-Engineering &amp; Design</v>
      </c>
      <c r="P27">
        <v>24</v>
      </c>
      <c r="Q27">
        <v>5417</v>
      </c>
      <c r="R27" t="s">
        <v>218</v>
      </c>
      <c r="S27">
        <v>6</v>
      </c>
      <c r="T27" t="s">
        <v>360</v>
      </c>
      <c r="U27" t="s">
        <v>343</v>
      </c>
      <c r="V27" s="44">
        <v>21519</v>
      </c>
      <c r="W27" s="44">
        <v>25297</v>
      </c>
      <c r="X27" s="43">
        <v>17.556577907895349</v>
      </c>
      <c r="Y27" s="45">
        <v>2166.8758043885996</v>
      </c>
      <c r="Z27" s="46">
        <v>9.3234655451952495</v>
      </c>
      <c r="AA27" s="46">
        <v>37.134614507510598</v>
      </c>
      <c r="AB27" s="44">
        <v>109782.08167341007</v>
      </c>
      <c r="AC27" s="43">
        <v>11.7195686418363</v>
      </c>
      <c r="AD27" s="43">
        <v>36.951511315342103</v>
      </c>
      <c r="AE27" s="50" t="s">
        <v>464</v>
      </c>
      <c r="AF27" s="51">
        <v>7.401512136888182</v>
      </c>
      <c r="AG27" s="51">
        <v>0.71659610419938513</v>
      </c>
      <c r="AH27" s="51">
        <v>4.3773430469153496</v>
      </c>
      <c r="AI27" t="s">
        <v>413</v>
      </c>
      <c r="AJ27">
        <v>8.4</v>
      </c>
      <c r="AK27" s="43">
        <v>0.807033</v>
      </c>
      <c r="AL27" s="43">
        <v>4.9409479999999997</v>
      </c>
      <c r="AM27" t="s">
        <v>465</v>
      </c>
    </row>
    <row r="28" spans="1:39" ht="29.1">
      <c r="A28" s="55" t="s">
        <v>461</v>
      </c>
      <c r="B28" s="86">
        <v>86547</v>
      </c>
      <c r="C28" s="86">
        <v>84452</v>
      </c>
      <c r="D28" s="87">
        <f t="shared" si="2"/>
        <v>-2095</v>
      </c>
      <c r="E28" s="88">
        <v>-2.420650051417149</v>
      </c>
      <c r="F28" s="89"/>
      <c r="G28" s="90">
        <v>2324.5895906345027</v>
      </c>
      <c r="H28" s="95">
        <v>2.7275866775772299</v>
      </c>
      <c r="I28" s="96"/>
      <c r="J28" s="92">
        <f t="shared" si="3"/>
        <v>1609.2187351981122</v>
      </c>
      <c r="K28" s="94">
        <v>1.9054832747573913</v>
      </c>
      <c r="M28">
        <v>7</v>
      </c>
      <c r="O28" t="str">
        <f>_xlfn.CONCAT(S28,"-", T28)</f>
        <v>7-Core Automotive</v>
      </c>
      <c r="P28">
        <v>25</v>
      </c>
      <c r="Q28">
        <v>3361</v>
      </c>
      <c r="R28" t="s">
        <v>341</v>
      </c>
      <c r="S28">
        <v>7</v>
      </c>
      <c r="T28" t="s">
        <v>342</v>
      </c>
      <c r="U28" t="s">
        <v>343</v>
      </c>
      <c r="V28" s="44">
        <v>39490</v>
      </c>
      <c r="W28" s="44">
        <v>48138</v>
      </c>
      <c r="X28" s="43">
        <v>21.899214991136997</v>
      </c>
      <c r="Y28" s="45">
        <v>13230.830938544201</v>
      </c>
      <c r="Z28" s="46">
        <v>27.1998701761608</v>
      </c>
      <c r="AA28" s="46">
        <v>42.940477542609599</v>
      </c>
      <c r="AB28" s="44">
        <v>95278.048297076966</v>
      </c>
      <c r="AC28" s="43">
        <v>31.569058324692499</v>
      </c>
      <c r="AD28" s="43">
        <v>46.711428114398501</v>
      </c>
      <c r="AE28" s="50" t="s">
        <v>466</v>
      </c>
      <c r="AF28" s="51">
        <v>-5.0787528126004498</v>
      </c>
      <c r="AG28" s="51">
        <v>-0.51987012504313146</v>
      </c>
      <c r="AH28" s="51">
        <v>-3.0789609201947066</v>
      </c>
      <c r="AI28" t="s">
        <v>400</v>
      </c>
      <c r="AJ28">
        <v>5.4</v>
      </c>
      <c r="AK28" s="43">
        <v>0.523899</v>
      </c>
      <c r="AL28" s="43">
        <v>3.1848510000000001</v>
      </c>
      <c r="AM28" t="s">
        <v>467</v>
      </c>
    </row>
    <row r="29" spans="1:39">
      <c r="A29" s="55" t="s">
        <v>463</v>
      </c>
      <c r="B29" s="86">
        <v>8632</v>
      </c>
      <c r="C29" s="86">
        <v>10458</v>
      </c>
      <c r="D29" s="87">
        <f t="shared" si="2"/>
        <v>1826</v>
      </c>
      <c r="E29" s="88">
        <v>21.153846153846153</v>
      </c>
      <c r="F29" s="89"/>
      <c r="G29" s="90">
        <v>-208.79741067109947</v>
      </c>
      <c r="H29" s="91">
        <v>-2.0096726335445299</v>
      </c>
      <c r="I29" s="89"/>
      <c r="J29" s="92">
        <f t="shared" si="3"/>
        <v>1112.3518240563897</v>
      </c>
      <c r="K29" s="94">
        <v>10.636372385316406</v>
      </c>
      <c r="M29">
        <v>7</v>
      </c>
      <c r="O29" t="str">
        <f>_xlfn.CONCAT(S29,"-", T29)</f>
        <v>7-Core Automotive</v>
      </c>
      <c r="P29">
        <v>26</v>
      </c>
      <c r="Q29">
        <v>3362</v>
      </c>
      <c r="R29" t="s">
        <v>344</v>
      </c>
      <c r="S29">
        <v>7</v>
      </c>
      <c r="T29" t="s">
        <v>342</v>
      </c>
      <c r="U29" t="s">
        <v>343</v>
      </c>
      <c r="V29" s="44">
        <v>9041</v>
      </c>
      <c r="W29" s="44">
        <v>7921</v>
      </c>
      <c r="X29" s="43">
        <v>-12.388010175865501</v>
      </c>
      <c r="Y29" s="45">
        <v>31.408345084360079</v>
      </c>
      <c r="Z29" s="46">
        <v>0.36545648905497802</v>
      </c>
      <c r="AA29" s="46">
        <v>29.550520862034698</v>
      </c>
      <c r="AB29" s="44">
        <v>7052.5550708379969</v>
      </c>
      <c r="AC29" s="43">
        <v>4.3134893399626302</v>
      </c>
      <c r="AD29" s="43">
        <v>36.355867498813801</v>
      </c>
      <c r="AE29" s="50" t="s">
        <v>466</v>
      </c>
      <c r="AF29" s="51">
        <v>-5.0787528126004498</v>
      </c>
      <c r="AG29" s="51">
        <v>-0.51987012504313146</v>
      </c>
      <c r="AH29" s="51">
        <v>-3.0789609201947066</v>
      </c>
      <c r="AI29" t="s">
        <v>401</v>
      </c>
      <c r="AJ29">
        <v>3.4</v>
      </c>
      <c r="AK29" s="43">
        <v>0.33140500000000001</v>
      </c>
      <c r="AL29" s="43">
        <v>2.0049779999999999</v>
      </c>
      <c r="AM29" t="s">
        <v>468</v>
      </c>
    </row>
    <row r="30" spans="1:39" ht="29.1">
      <c r="A30" s="55" t="s">
        <v>465</v>
      </c>
      <c r="B30" s="86">
        <v>21519</v>
      </c>
      <c r="C30" s="86">
        <v>25297</v>
      </c>
      <c r="D30" s="87">
        <f t="shared" si="2"/>
        <v>3778</v>
      </c>
      <c r="E30" s="88">
        <v>17.556577907895349</v>
      </c>
      <c r="F30" s="89"/>
      <c r="G30" s="90">
        <v>2166.8758043885996</v>
      </c>
      <c r="H30" s="91">
        <v>9.3234655451952495</v>
      </c>
      <c r="I30" s="89"/>
      <c r="J30" s="92">
        <f t="shared" si="3"/>
        <v>1107.336470578176</v>
      </c>
      <c r="K30" s="94">
        <v>4.3773430469153496</v>
      </c>
      <c r="M30">
        <v>7</v>
      </c>
      <c r="O30" t="str">
        <f>_xlfn.CONCAT(S30,"-", T30)</f>
        <v>7-Core Automotive</v>
      </c>
      <c r="P30">
        <v>27</v>
      </c>
      <c r="Q30">
        <v>3363</v>
      </c>
      <c r="R30" t="s">
        <v>345</v>
      </c>
      <c r="S30">
        <v>7</v>
      </c>
      <c r="T30" t="s">
        <v>342</v>
      </c>
      <c r="U30" t="s">
        <v>343</v>
      </c>
      <c r="V30" s="44">
        <v>134464</v>
      </c>
      <c r="W30" s="44">
        <v>117023</v>
      </c>
      <c r="X30" s="43">
        <v>-12.970757972394098</v>
      </c>
      <c r="Y30" s="45">
        <v>-11325.243393899002</v>
      </c>
      <c r="Z30" s="46">
        <v>-9.5703725094202099</v>
      </c>
      <c r="AA30" s="46">
        <v>12.303413624833301</v>
      </c>
      <c r="AB30" s="44">
        <v>-29525.333347247964</v>
      </c>
      <c r="AC30" s="43">
        <v>-5.3361447470896399</v>
      </c>
      <c r="AD30" s="43">
        <v>21.900337254446999</v>
      </c>
      <c r="AE30" s="50" t="s">
        <v>466</v>
      </c>
      <c r="AF30" s="51">
        <v>-5.0787528126004498</v>
      </c>
      <c r="AG30" s="51">
        <v>-0.51987012504313146</v>
      </c>
      <c r="AH30" s="51">
        <v>-3.0789609201947066</v>
      </c>
      <c r="AI30" t="s">
        <v>402</v>
      </c>
      <c r="AJ30">
        <v>-22.4</v>
      </c>
      <c r="AK30" s="43">
        <v>-2.5055209999999999</v>
      </c>
      <c r="AL30" s="43">
        <v>-14.122354</v>
      </c>
      <c r="AM30" t="s">
        <v>469</v>
      </c>
    </row>
    <row r="31" spans="1:39">
      <c r="A31" s="55" t="s">
        <v>467</v>
      </c>
      <c r="B31" s="86">
        <v>39490</v>
      </c>
      <c r="C31" s="86">
        <v>48138</v>
      </c>
      <c r="D31" s="87">
        <f t="shared" si="2"/>
        <v>8648</v>
      </c>
      <c r="E31" s="88">
        <v>21.899214991136997</v>
      </c>
      <c r="F31" s="89"/>
      <c r="G31" s="90">
        <v>13230.830938544201</v>
      </c>
      <c r="H31" s="91">
        <v>27.1998701761608</v>
      </c>
      <c r="I31" s="89"/>
      <c r="J31" s="92">
        <f t="shared" si="3"/>
        <v>-1482.1502077633279</v>
      </c>
      <c r="K31" s="94">
        <v>-3.0789609201947066</v>
      </c>
      <c r="M31">
        <v>8</v>
      </c>
      <c r="O31" t="str">
        <f>_xlfn.CONCAT(S31,"-", T31)</f>
        <v>8-Motor Vehicle Parts, Materials, &amp; Products Sales</v>
      </c>
      <c r="P31">
        <v>28</v>
      </c>
      <c r="Q31">
        <v>4231</v>
      </c>
      <c r="R31" t="s">
        <v>346</v>
      </c>
      <c r="S31">
        <v>8</v>
      </c>
      <c r="T31" t="s">
        <v>347</v>
      </c>
      <c r="U31" t="s">
        <v>348</v>
      </c>
      <c r="V31" s="44">
        <v>22017</v>
      </c>
      <c r="W31" s="44">
        <v>25978</v>
      </c>
      <c r="X31" s="43">
        <v>17.990643593586775</v>
      </c>
      <c r="Y31" s="45">
        <v>957.09378226510114</v>
      </c>
      <c r="Z31" s="46">
        <v>3.6680491892827298</v>
      </c>
      <c r="AA31" s="46">
        <v>25.096698972649801</v>
      </c>
      <c r="AB31" s="44">
        <v>20443.095600326957</v>
      </c>
      <c r="AC31" s="43">
        <v>5.3654976067087397</v>
      </c>
      <c r="AD31" s="43">
        <v>28.2808937679788</v>
      </c>
      <c r="AE31" s="50" t="s">
        <v>470</v>
      </c>
      <c r="AF31" s="51">
        <v>-1.6270929902563618</v>
      </c>
      <c r="AG31" s="51">
        <v>-0.16391306663875449</v>
      </c>
      <c r="AH31" s="51">
        <v>-0.9794570728659413</v>
      </c>
      <c r="AI31" t="s">
        <v>403</v>
      </c>
      <c r="AJ31">
        <v>4.5</v>
      </c>
      <c r="AK31" s="43">
        <v>0.444934</v>
      </c>
      <c r="AL31" s="43">
        <v>2.6994760000000002</v>
      </c>
      <c r="AM31" t="s">
        <v>471</v>
      </c>
    </row>
    <row r="32" spans="1:39" ht="29.1">
      <c r="A32" s="55" t="s">
        <v>468</v>
      </c>
      <c r="B32" s="86">
        <v>9041</v>
      </c>
      <c r="C32" s="86">
        <v>7921</v>
      </c>
      <c r="D32" s="87">
        <f t="shared" si="2"/>
        <v>-1120</v>
      </c>
      <c r="E32" s="88">
        <v>-12.388010175865501</v>
      </c>
      <c r="F32" s="89"/>
      <c r="G32" s="90">
        <v>31.408345084360079</v>
      </c>
      <c r="H32" s="91">
        <v>0.36545648905497802</v>
      </c>
      <c r="I32" s="89"/>
      <c r="J32" s="92">
        <f t="shared" si="3"/>
        <v>-243.88449448862272</v>
      </c>
      <c r="K32" s="94">
        <v>-3.0789609201947066</v>
      </c>
      <c r="M32">
        <v>8</v>
      </c>
      <c r="O32" t="str">
        <f>_xlfn.CONCAT(S32,"-", T32)</f>
        <v>8-Motor Vehicle Parts, Materials, &amp; Products Sales</v>
      </c>
      <c r="P32">
        <v>29</v>
      </c>
      <c r="Q32">
        <v>4235</v>
      </c>
      <c r="R32" t="s">
        <v>349</v>
      </c>
      <c r="S32">
        <v>8</v>
      </c>
      <c r="T32" t="s">
        <v>347</v>
      </c>
      <c r="U32" t="s">
        <v>348</v>
      </c>
      <c r="V32" s="44">
        <v>7191</v>
      </c>
      <c r="W32" s="44">
        <v>6359</v>
      </c>
      <c r="X32" s="43">
        <v>-11.570018078153248</v>
      </c>
      <c r="Y32" s="45">
        <v>-50.751260430629941</v>
      </c>
      <c r="Z32" s="46">
        <v>-0.76293585231415895</v>
      </c>
      <c r="AA32" s="46">
        <v>22.543724601810698</v>
      </c>
      <c r="AB32" s="44">
        <v>8603.1180098189852</v>
      </c>
      <c r="AC32" s="43">
        <v>6.2605814849991299</v>
      </c>
      <c r="AD32" s="43">
        <v>27.554765241373001</v>
      </c>
      <c r="AE32" s="50" t="s">
        <v>470</v>
      </c>
      <c r="AF32" s="51">
        <v>-1.6270929902563618</v>
      </c>
      <c r="AG32" s="51">
        <v>-0.16391306663875449</v>
      </c>
      <c r="AH32" s="51">
        <v>-0.9794570728659413</v>
      </c>
      <c r="AI32" t="s">
        <v>404</v>
      </c>
      <c r="AJ32">
        <v>3.4</v>
      </c>
      <c r="AK32" s="43">
        <v>0.3362</v>
      </c>
      <c r="AL32" s="43">
        <v>2.034233</v>
      </c>
      <c r="AM32" t="s">
        <v>472</v>
      </c>
    </row>
    <row r="33" spans="1:39" ht="15" thickBot="1">
      <c r="A33" s="55" t="s">
        <v>469</v>
      </c>
      <c r="B33" s="86">
        <v>134464</v>
      </c>
      <c r="C33" s="86">
        <v>117023</v>
      </c>
      <c r="D33" s="87">
        <f t="shared" si="2"/>
        <v>-17441</v>
      </c>
      <c r="E33" s="88">
        <v>-12.970757972394098</v>
      </c>
      <c r="F33" s="89"/>
      <c r="G33" s="90">
        <v>-11325.243393899002</v>
      </c>
      <c r="H33" s="91">
        <v>-9.5703725094202099</v>
      </c>
      <c r="I33" s="89"/>
      <c r="J33" s="92">
        <f t="shared" si="3"/>
        <v>-3603.0924376394514</v>
      </c>
      <c r="K33" s="94">
        <v>-3.0789609201947066</v>
      </c>
      <c r="M33">
        <v>8</v>
      </c>
      <c r="O33" t="str">
        <f>_xlfn.CONCAT(S33,"-", T33)</f>
        <v>8-Motor Vehicle Parts, Materials, &amp; Products Sales</v>
      </c>
      <c r="P33">
        <v>30</v>
      </c>
      <c r="Q33">
        <v>4238</v>
      </c>
      <c r="R33" t="s">
        <v>350</v>
      </c>
      <c r="S33">
        <v>8</v>
      </c>
      <c r="T33" t="s">
        <v>347</v>
      </c>
      <c r="U33" t="s">
        <v>348</v>
      </c>
      <c r="V33" s="44">
        <v>25165</v>
      </c>
      <c r="W33" s="44">
        <v>24407</v>
      </c>
      <c r="X33" s="43">
        <v>-3.0121200079475461</v>
      </c>
      <c r="Y33" s="45">
        <v>244.09553513580207</v>
      </c>
      <c r="Z33" s="46">
        <v>0.997814058104456</v>
      </c>
      <c r="AA33" s="46">
        <v>18.0756143003996</v>
      </c>
      <c r="AB33" s="44">
        <v>19985.246506400017</v>
      </c>
      <c r="AC33" s="43">
        <v>2.5707947732654999</v>
      </c>
      <c r="AD33" s="43">
        <v>21.685158169381701</v>
      </c>
      <c r="AE33" s="50" t="s">
        <v>470</v>
      </c>
      <c r="AF33" s="51">
        <v>-1.6270929902563618</v>
      </c>
      <c r="AG33" s="51">
        <v>-0.16391306663875449</v>
      </c>
      <c r="AH33" s="51">
        <v>-0.9794570728659413</v>
      </c>
      <c r="AI33" t="s">
        <v>405</v>
      </c>
      <c r="AJ33">
        <v>4</v>
      </c>
      <c r="AK33" s="43">
        <v>0.39670100000000003</v>
      </c>
      <c r="AL33" s="43">
        <v>2.4039389999999998</v>
      </c>
      <c r="AM33" t="s">
        <v>473</v>
      </c>
    </row>
    <row r="34" spans="1:39" ht="15" thickBot="1">
      <c r="A34" s="130" t="s">
        <v>499</v>
      </c>
      <c r="B34" s="131"/>
      <c r="C34" s="131"/>
      <c r="D34" s="131"/>
      <c r="E34" s="131"/>
      <c r="F34" s="131"/>
      <c r="G34" s="131"/>
      <c r="H34" s="131"/>
      <c r="I34" s="131"/>
      <c r="J34" s="131"/>
      <c r="K34" s="132"/>
      <c r="M34">
        <v>8</v>
      </c>
      <c r="O34" t="str">
        <f>_xlfn.CONCAT(S34,"-", T34)</f>
        <v>8-Motor Vehicle Parts, Materials, &amp; Products Sales</v>
      </c>
      <c r="P34">
        <v>31</v>
      </c>
      <c r="Q34">
        <v>4239</v>
      </c>
      <c r="R34" t="s">
        <v>351</v>
      </c>
      <c r="S34">
        <v>8</v>
      </c>
      <c r="T34" t="s">
        <v>347</v>
      </c>
      <c r="U34" t="s">
        <v>348</v>
      </c>
      <c r="V34" s="44">
        <v>7792</v>
      </c>
      <c r="W34" s="44">
        <v>8732</v>
      </c>
      <c r="X34" s="43">
        <v>12.06365503080082</v>
      </c>
      <c r="Y34" s="45">
        <v>19.774785123180649</v>
      </c>
      <c r="Z34" s="46">
        <v>0.224252436117054</v>
      </c>
      <c r="AA34" s="46">
        <v>22.9671627342805</v>
      </c>
      <c r="AB34" s="44">
        <v>14679.292768465984</v>
      </c>
      <c r="AC34" s="43">
        <v>4.5805776016873399</v>
      </c>
      <c r="AD34" s="43">
        <v>28.293540363841799</v>
      </c>
      <c r="AE34" s="50" t="s">
        <v>470</v>
      </c>
      <c r="AF34" s="51">
        <v>-1.6270929902563618</v>
      </c>
      <c r="AG34" s="51">
        <v>-0.16391306663875449</v>
      </c>
      <c r="AH34" s="51">
        <v>-0.9794570728659413</v>
      </c>
      <c r="AI34" t="s">
        <v>404</v>
      </c>
      <c r="AJ34">
        <v>3.4</v>
      </c>
      <c r="AK34" s="43">
        <v>0.3362</v>
      </c>
      <c r="AL34" s="43">
        <v>2.034233</v>
      </c>
      <c r="AM34" t="s">
        <v>474</v>
      </c>
    </row>
    <row r="35" spans="1:39" ht="72.599999999999994">
      <c r="A35" s="64" t="s">
        <v>429</v>
      </c>
      <c r="B35" s="65" t="s">
        <v>489</v>
      </c>
      <c r="C35" s="65" t="s">
        <v>490</v>
      </c>
      <c r="D35" s="66" t="s">
        <v>491</v>
      </c>
      <c r="E35" s="66" t="s">
        <v>492</v>
      </c>
      <c r="F35" s="65"/>
      <c r="G35" s="67" t="s">
        <v>493</v>
      </c>
      <c r="H35" s="67" t="s">
        <v>494</v>
      </c>
      <c r="I35" s="68"/>
      <c r="J35" s="69" t="s">
        <v>495</v>
      </c>
      <c r="K35" s="70" t="s">
        <v>496</v>
      </c>
      <c r="M35">
        <v>8</v>
      </c>
      <c r="O35" t="str">
        <f>_xlfn.CONCAT(S35,"-", T35)</f>
        <v>8-Motor Vehicle Parts, Materials, &amp; Products Sales</v>
      </c>
      <c r="P35">
        <v>32</v>
      </c>
      <c r="Q35">
        <v>4247</v>
      </c>
      <c r="R35" t="s">
        <v>352</v>
      </c>
      <c r="S35">
        <v>8</v>
      </c>
      <c r="T35" t="s">
        <v>347</v>
      </c>
      <c r="U35" t="s">
        <v>348</v>
      </c>
      <c r="V35" s="44">
        <v>3442</v>
      </c>
      <c r="W35" s="44">
        <v>3846</v>
      </c>
      <c r="X35" s="43">
        <v>11.737361998837885</v>
      </c>
      <c r="Y35" s="45">
        <v>-207.22672151706024</v>
      </c>
      <c r="Z35" s="46">
        <v>-5.7345846076054299</v>
      </c>
      <c r="AA35" s="46">
        <v>17.9749242092687</v>
      </c>
      <c r="AB35" s="44">
        <v>-4999.9556623793069</v>
      </c>
      <c r="AC35" s="43">
        <v>-4.9753340524581198</v>
      </c>
      <c r="AD35" s="43">
        <v>20.007487771976599</v>
      </c>
      <c r="AE35" s="50" t="s">
        <v>475</v>
      </c>
      <c r="AF35" s="51">
        <v>-1.4717425431711146</v>
      </c>
      <c r="AG35" s="51">
        <v>-0.14815814945956518</v>
      </c>
      <c r="AH35" s="51">
        <v>-0.88566276833724755</v>
      </c>
      <c r="AI35" t="s">
        <v>406</v>
      </c>
      <c r="AJ35">
        <v>1.2</v>
      </c>
      <c r="AK35" s="43">
        <v>0.117891</v>
      </c>
      <c r="AL35" s="43">
        <v>0.70943500000000004</v>
      </c>
      <c r="AM35" t="s">
        <v>476</v>
      </c>
    </row>
    <row r="36" spans="1:39" ht="29.1">
      <c r="A36" s="55" t="s">
        <v>471</v>
      </c>
      <c r="B36" s="86">
        <v>22017</v>
      </c>
      <c r="C36" s="86">
        <v>25978</v>
      </c>
      <c r="D36" s="87">
        <f t="shared" si="2"/>
        <v>3961</v>
      </c>
      <c r="E36" s="88">
        <v>17.990643593586775</v>
      </c>
      <c r="F36" s="89"/>
      <c r="G36" s="90">
        <v>957.09378226510114</v>
      </c>
      <c r="H36" s="91">
        <v>3.6680491892827298</v>
      </c>
      <c r="I36" s="89"/>
      <c r="J36" s="92">
        <f t="shared" si="3"/>
        <v>-254.44335838911422</v>
      </c>
      <c r="K36" s="94">
        <v>-0.9794570728659413</v>
      </c>
      <c r="M36">
        <v>8</v>
      </c>
      <c r="O36" t="str">
        <f>_xlfn.CONCAT(S36,"-", T36)</f>
        <v>8-Motor Vehicle Parts, Materials, &amp; Products Sales</v>
      </c>
      <c r="P36">
        <v>33</v>
      </c>
      <c r="Q36">
        <v>4413</v>
      </c>
      <c r="R36" t="s">
        <v>355</v>
      </c>
      <c r="S36">
        <v>8</v>
      </c>
      <c r="T36" t="s">
        <v>347</v>
      </c>
      <c r="U36" t="s">
        <v>348</v>
      </c>
      <c r="V36" s="44">
        <v>17572</v>
      </c>
      <c r="W36" s="44">
        <v>18192</v>
      </c>
      <c r="X36" s="43">
        <v>3.5283405417709996</v>
      </c>
      <c r="Y36" s="45">
        <v>208.37047177590051</v>
      </c>
      <c r="Z36" s="46">
        <v>1.1815487799623099</v>
      </c>
      <c r="AA36" s="46">
        <v>40.614015112322903</v>
      </c>
      <c r="AB36" s="44">
        <v>26330.883002039969</v>
      </c>
      <c r="AC36" s="43">
        <v>4.5133470380051897</v>
      </c>
      <c r="AD36" s="43">
        <v>38.897943906924503</v>
      </c>
      <c r="AE36" s="50" t="s">
        <v>477</v>
      </c>
      <c r="AF36" s="51">
        <v>-0.38216560509554143</v>
      </c>
      <c r="AG36" s="51">
        <v>-3.8282442773163172E-2</v>
      </c>
      <c r="AH36" s="51">
        <v>-0.22947493700237187</v>
      </c>
      <c r="AI36" t="s">
        <v>408</v>
      </c>
      <c r="AJ36">
        <v>3</v>
      </c>
      <c r="AK36" s="43">
        <v>0.29237000000000002</v>
      </c>
      <c r="AL36" s="43">
        <v>1.76709</v>
      </c>
      <c r="AM36" t="s">
        <v>478</v>
      </c>
    </row>
    <row r="37" spans="1:39" ht="29.1">
      <c r="A37" s="55" t="s">
        <v>472</v>
      </c>
      <c r="B37" s="86">
        <v>7191</v>
      </c>
      <c r="C37" s="86">
        <v>6359</v>
      </c>
      <c r="D37" s="87">
        <f t="shared" si="2"/>
        <v>-832</v>
      </c>
      <c r="E37" s="88">
        <v>-11.570018078153248</v>
      </c>
      <c r="F37" s="89"/>
      <c r="G37" s="90">
        <v>-50.751260430629941</v>
      </c>
      <c r="H37" s="91">
        <v>-0.76293585231415895</v>
      </c>
      <c r="I37" s="89"/>
      <c r="J37" s="92">
        <f t="shared" si="3"/>
        <v>-62.283675263545206</v>
      </c>
      <c r="K37" s="94">
        <v>-0.9794570728659413</v>
      </c>
      <c r="M37">
        <v>8</v>
      </c>
      <c r="O37" t="str">
        <f>_xlfn.CONCAT(S37,"-", T37)</f>
        <v>8-Motor Vehicle Parts, Materials, &amp; Products Sales</v>
      </c>
      <c r="P37">
        <v>34</v>
      </c>
      <c r="Q37">
        <v>4571</v>
      </c>
      <c r="R37" t="s">
        <v>356</v>
      </c>
      <c r="S37">
        <v>8</v>
      </c>
      <c r="T37" t="s">
        <v>347</v>
      </c>
      <c r="U37" t="s">
        <v>348</v>
      </c>
      <c r="V37" s="44">
        <v>27341.077804565401</v>
      </c>
      <c r="W37" s="44">
        <v>27826</v>
      </c>
      <c r="X37" s="43">
        <v>1.7736030704452601</v>
      </c>
      <c r="Y37" s="45">
        <v>429.75796206719963</v>
      </c>
      <c r="Z37" s="46">
        <v>1.57926177341339</v>
      </c>
      <c r="AA37" s="46">
        <v>-4.2781051632654901</v>
      </c>
      <c r="AB37" s="44">
        <v>36291.929758065977</v>
      </c>
      <c r="AC37" s="43">
        <v>3.7543382180937601</v>
      </c>
      <c r="AD37" s="43">
        <v>-5.7022100851351496</v>
      </c>
      <c r="AE37" s="50" t="s">
        <v>479</v>
      </c>
      <c r="AF37" s="51">
        <v>-6.2433862433862428</v>
      </c>
      <c r="AG37" s="51">
        <v>-0.64260616728745168</v>
      </c>
      <c r="AH37" s="51">
        <v>-3.7942237685658853</v>
      </c>
      <c r="AI37" t="s">
        <v>409</v>
      </c>
      <c r="AJ37">
        <v>-14.1</v>
      </c>
      <c r="AK37" s="43">
        <v>-1.503017</v>
      </c>
      <c r="AL37" s="43">
        <v>-8.6859570000000001</v>
      </c>
      <c r="AM37" t="s">
        <v>480</v>
      </c>
    </row>
    <row r="38" spans="1:39" ht="29.1">
      <c r="A38" s="55" t="s">
        <v>473</v>
      </c>
      <c r="B38" s="86">
        <v>25165</v>
      </c>
      <c r="C38" s="86">
        <v>24407</v>
      </c>
      <c r="D38" s="87">
        <f t="shared" si="2"/>
        <v>-758</v>
      </c>
      <c r="E38" s="88">
        <v>-3.0121200079475461</v>
      </c>
      <c r="F38" s="89"/>
      <c r="G38" s="90">
        <v>244.09553513580207</v>
      </c>
      <c r="H38" s="91">
        <v>0.997814058104456</v>
      </c>
      <c r="I38" s="89"/>
      <c r="J38" s="92">
        <f t="shared" si="3"/>
        <v>-239.05608777439031</v>
      </c>
      <c r="K38" s="94">
        <v>-0.9794570728659413</v>
      </c>
      <c r="M38">
        <v>9</v>
      </c>
      <c r="O38" t="str">
        <f>_xlfn.CONCAT(S38,"-", T38)</f>
        <v>9-Dealers, Maintenance, &amp; Repair</v>
      </c>
      <c r="P38">
        <v>35</v>
      </c>
      <c r="Q38">
        <v>4411</v>
      </c>
      <c r="R38" t="s">
        <v>353</v>
      </c>
      <c r="S38">
        <v>9</v>
      </c>
      <c r="T38" t="s">
        <v>354</v>
      </c>
      <c r="U38" t="s">
        <v>348</v>
      </c>
      <c r="V38" s="44">
        <v>39716</v>
      </c>
      <c r="W38" s="44">
        <v>38262</v>
      </c>
      <c r="X38" s="43">
        <v>-3.6609930506596839</v>
      </c>
      <c r="Y38" s="45">
        <v>155.60173464649552</v>
      </c>
      <c r="Z38" s="46">
        <v>0.40183659946551897</v>
      </c>
      <c r="AA38" s="46">
        <v>35.640482899511198</v>
      </c>
      <c r="AB38" s="44">
        <v>43135.293217500017</v>
      </c>
      <c r="AC38" s="43">
        <v>3.41272861866572</v>
      </c>
      <c r="AD38" s="43">
        <v>34.829219271208601</v>
      </c>
      <c r="AE38" s="50" t="s">
        <v>477</v>
      </c>
      <c r="AF38" s="51">
        <v>-0.38216560509554143</v>
      </c>
      <c r="AG38" s="51">
        <v>-3.8282442773163172E-2</v>
      </c>
      <c r="AH38" s="51">
        <v>-0.22947493700237187</v>
      </c>
      <c r="AI38" t="s">
        <v>407</v>
      </c>
      <c r="AJ38">
        <v>2.7</v>
      </c>
      <c r="AK38" s="43">
        <v>0.27013300000000001</v>
      </c>
      <c r="AL38" s="43">
        <v>1.631783</v>
      </c>
      <c r="AM38" t="s">
        <v>481</v>
      </c>
    </row>
    <row r="39" spans="1:39" ht="29.1">
      <c r="A39" s="55" t="s">
        <v>474</v>
      </c>
      <c r="B39" s="86">
        <v>7792</v>
      </c>
      <c r="C39" s="86">
        <v>8732</v>
      </c>
      <c r="D39" s="87">
        <f t="shared" si="2"/>
        <v>940</v>
      </c>
      <c r="E39" s="88">
        <v>12.06365503080082</v>
      </c>
      <c r="F39" s="89"/>
      <c r="G39" s="90">
        <v>19.774785123180649</v>
      </c>
      <c r="H39" s="91">
        <v>0.224252436117054</v>
      </c>
      <c r="I39" s="89"/>
      <c r="J39" s="92">
        <f t="shared" si="3"/>
        <v>-85.526191602653995</v>
      </c>
      <c r="K39" s="94">
        <v>-0.9794570728659413</v>
      </c>
      <c r="M39">
        <v>9</v>
      </c>
      <c r="O39" t="str">
        <f>_xlfn.CONCAT(S39,"-", T39)</f>
        <v>9-Dealers, Maintenance, &amp; Repair</v>
      </c>
      <c r="P39">
        <v>36</v>
      </c>
      <c r="Q39">
        <v>8111</v>
      </c>
      <c r="R39" t="s">
        <v>361</v>
      </c>
      <c r="S39">
        <v>9</v>
      </c>
      <c r="T39" t="s">
        <v>354</v>
      </c>
      <c r="U39" t="s">
        <v>348</v>
      </c>
      <c r="V39" s="44">
        <v>28824</v>
      </c>
      <c r="W39" s="44">
        <v>31338</v>
      </c>
      <c r="X39" s="43">
        <v>8.7218984179850114</v>
      </c>
      <c r="Y39" s="45">
        <v>1919.1022974674966</v>
      </c>
      <c r="Z39" s="46">
        <v>6.2127701145143499</v>
      </c>
      <c r="AA39" s="46">
        <v>12.143165385690301</v>
      </c>
      <c r="AB39" s="44">
        <v>54300.114611869954</v>
      </c>
      <c r="AC39" s="43">
        <v>5.2387020674550397</v>
      </c>
      <c r="AD39" s="43">
        <v>15.0498734984984</v>
      </c>
      <c r="AE39" s="50" t="s">
        <v>482</v>
      </c>
      <c r="AF39" s="51">
        <v>-1.3907888736890104</v>
      </c>
      <c r="AG39" s="51">
        <v>-0.13995706474011493</v>
      </c>
      <c r="AH39" s="51">
        <v>-0.83680966864535522</v>
      </c>
      <c r="AI39" t="s">
        <v>414</v>
      </c>
      <c r="AJ39">
        <v>1.5</v>
      </c>
      <c r="AK39" s="43">
        <v>0.15337700000000001</v>
      </c>
      <c r="AL39" s="43">
        <v>0.92379900000000004</v>
      </c>
      <c r="AM39" t="s">
        <v>483</v>
      </c>
    </row>
    <row r="40" spans="1:39" ht="29.1">
      <c r="A40" s="55" t="s">
        <v>476</v>
      </c>
      <c r="B40" s="86">
        <v>3442</v>
      </c>
      <c r="C40" s="86">
        <v>3846</v>
      </c>
      <c r="D40" s="87">
        <f t="shared" si="2"/>
        <v>404</v>
      </c>
      <c r="E40" s="88">
        <v>11.737361998837885</v>
      </c>
      <c r="F40" s="89"/>
      <c r="G40" s="90">
        <v>-207.22672151706024</v>
      </c>
      <c r="H40" s="91">
        <v>-5.7345846076054299</v>
      </c>
      <c r="I40" s="89"/>
      <c r="J40" s="92">
        <f t="shared" si="3"/>
        <v>-34.062590070250543</v>
      </c>
      <c r="K40" s="94">
        <v>-0.88566276833724755</v>
      </c>
      <c r="M40">
        <v>10</v>
      </c>
      <c r="O40" t="str">
        <f>_xlfn.CONCAT(S40,"-", T40)</f>
        <v>10-Logistics</v>
      </c>
      <c r="P40">
        <v>37</v>
      </c>
      <c r="Q40">
        <v>4841</v>
      </c>
      <c r="R40" t="s">
        <v>357</v>
      </c>
      <c r="S40">
        <v>10</v>
      </c>
      <c r="T40" t="s">
        <v>358</v>
      </c>
      <c r="U40" t="s">
        <v>348</v>
      </c>
      <c r="V40" s="44">
        <v>36045</v>
      </c>
      <c r="W40" s="44">
        <v>35249</v>
      </c>
      <c r="X40" s="43">
        <v>-2.2083506727701483</v>
      </c>
      <c r="Y40" s="45">
        <v>-3430.4756031723045</v>
      </c>
      <c r="Z40" s="46">
        <v>-9.6660311960563803</v>
      </c>
      <c r="AA40" s="46">
        <v>11.0871488049295</v>
      </c>
      <c r="AB40" s="44">
        <v>-131790.08874234397</v>
      </c>
      <c r="AC40" s="43">
        <v>-12.3788961902391</v>
      </c>
      <c r="AD40" s="43">
        <v>15.322994277075701</v>
      </c>
      <c r="AE40" s="50" t="s">
        <v>484</v>
      </c>
      <c r="AF40" s="51">
        <v>2.0934959349593498</v>
      </c>
      <c r="AG40" s="51">
        <v>0.20740312599327737</v>
      </c>
      <c r="AH40" s="51">
        <v>1.2508890355684477</v>
      </c>
      <c r="AI40" t="s">
        <v>410</v>
      </c>
      <c r="AJ40">
        <v>1.4</v>
      </c>
      <c r="AK40" s="43">
        <v>0.13711799999999999</v>
      </c>
      <c r="AL40" s="43">
        <v>0.82553399999999999</v>
      </c>
      <c r="AM40" t="s">
        <v>485</v>
      </c>
    </row>
    <row r="41" spans="1:39" ht="29.1">
      <c r="A41" s="55" t="s">
        <v>478</v>
      </c>
      <c r="B41" s="86">
        <v>17572</v>
      </c>
      <c r="C41" s="86">
        <v>18192</v>
      </c>
      <c r="D41" s="87">
        <f t="shared" si="2"/>
        <v>620</v>
      </c>
      <c r="E41" s="88">
        <v>3.5283405417709996</v>
      </c>
      <c r="F41" s="89"/>
      <c r="G41" s="90">
        <v>208.37047177590051</v>
      </c>
      <c r="H41" s="91">
        <v>1.1815487799623099</v>
      </c>
      <c r="I41" s="89"/>
      <c r="J41" s="92">
        <f t="shared" si="3"/>
        <v>-41.746080539471492</v>
      </c>
      <c r="K41" s="94">
        <v>-0.22947493700237187</v>
      </c>
      <c r="M41">
        <v>10</v>
      </c>
      <c r="O41" t="str">
        <f>_xlfn.CONCAT(S41,"-", T41)</f>
        <v>10-Logistics</v>
      </c>
      <c r="P41">
        <v>38</v>
      </c>
      <c r="Q41">
        <v>4842</v>
      </c>
      <c r="R41" t="s">
        <v>359</v>
      </c>
      <c r="S41">
        <v>10</v>
      </c>
      <c r="T41" t="s">
        <v>358</v>
      </c>
      <c r="U41" t="s">
        <v>348</v>
      </c>
      <c r="V41" s="44">
        <v>11457</v>
      </c>
      <c r="W41" s="44">
        <v>11640</v>
      </c>
      <c r="X41" s="43">
        <v>1.5972767740246137</v>
      </c>
      <c r="Y41" s="45">
        <v>-1749.0037935683099</v>
      </c>
      <c r="Z41" s="46">
        <v>-15.0089521866858</v>
      </c>
      <c r="AA41" s="46">
        <v>14.9371602329997</v>
      </c>
      <c r="AB41" s="44">
        <v>-52420.435218797022</v>
      </c>
      <c r="AC41" s="43">
        <v>-11.470602027950999</v>
      </c>
      <c r="AD41" s="43">
        <v>23.981620019207501</v>
      </c>
      <c r="AE41" s="50" t="s">
        <v>484</v>
      </c>
      <c r="AF41" s="51">
        <v>2.0934959349593498</v>
      </c>
      <c r="AG41" s="51">
        <v>0.20740312599327737</v>
      </c>
      <c r="AH41" s="51">
        <v>1.2508890355684477</v>
      </c>
      <c r="AI41" t="s">
        <v>410</v>
      </c>
      <c r="AJ41">
        <v>1.4</v>
      </c>
      <c r="AK41" s="43">
        <v>0.13711799999999999</v>
      </c>
      <c r="AL41" s="43">
        <v>0.82553399999999999</v>
      </c>
      <c r="AM41" t="s">
        <v>486</v>
      </c>
    </row>
    <row r="42" spans="1:39">
      <c r="A42" s="55" t="s">
        <v>480</v>
      </c>
      <c r="B42" s="86">
        <v>27341.077804565401</v>
      </c>
      <c r="C42" s="86">
        <v>27826</v>
      </c>
      <c r="D42" s="87">
        <f t="shared" si="2"/>
        <v>484.92219543459942</v>
      </c>
      <c r="E42" s="88">
        <v>1.7736030704452601</v>
      </c>
      <c r="F42" s="89"/>
      <c r="G42" s="90">
        <v>429.75796206719963</v>
      </c>
      <c r="H42" s="91">
        <v>1.57926177341339</v>
      </c>
      <c r="I42" s="89"/>
      <c r="J42" s="92">
        <f t="shared" si="3"/>
        <v>-1055.7807058411433</v>
      </c>
      <c r="K42" s="94">
        <v>-3.7942237685658853</v>
      </c>
      <c r="R42" s="48" t="s">
        <v>487</v>
      </c>
      <c r="V42" s="54">
        <v>755774.07780456543</v>
      </c>
      <c r="W42" s="54">
        <v>730335</v>
      </c>
      <c r="Y42" s="53">
        <f>SUM(Y3:Y41)</f>
        <v>-7273.5082782108493</v>
      </c>
      <c r="AB42" s="53"/>
      <c r="AF42" s="53"/>
    </row>
    <row r="43" spans="1:39">
      <c r="A43" s="55" t="s">
        <v>481</v>
      </c>
      <c r="B43" s="86">
        <v>39716</v>
      </c>
      <c r="C43" s="86">
        <v>38262</v>
      </c>
      <c r="D43" s="87">
        <f t="shared" si="2"/>
        <v>-1454</v>
      </c>
      <c r="E43" s="88">
        <v>-3.6609930506596839</v>
      </c>
      <c r="F43" s="89"/>
      <c r="G43" s="90">
        <v>155.60173464649552</v>
      </c>
      <c r="H43" s="91">
        <v>0.40183659946551897</v>
      </c>
      <c r="I43" s="89"/>
      <c r="J43" s="92">
        <f t="shared" si="3"/>
        <v>-87.801700395847519</v>
      </c>
      <c r="K43" s="94">
        <v>-0.22947493700237187</v>
      </c>
    </row>
    <row r="44" spans="1:39">
      <c r="A44" s="55" t="s">
        <v>483</v>
      </c>
      <c r="B44" s="86">
        <v>28824</v>
      </c>
      <c r="C44" s="86">
        <v>31338</v>
      </c>
      <c r="D44" s="87">
        <f t="shared" si="2"/>
        <v>2514</v>
      </c>
      <c r="E44" s="88">
        <v>8.7218984179850114</v>
      </c>
      <c r="F44" s="89"/>
      <c r="G44" s="90">
        <v>1919.1022974674966</v>
      </c>
      <c r="H44" s="91">
        <v>6.2127701145143499</v>
      </c>
      <c r="I44" s="89"/>
      <c r="J44" s="92">
        <f t="shared" si="3"/>
        <v>-262.23941396008144</v>
      </c>
      <c r="K44" s="94">
        <v>-0.83680966864535522</v>
      </c>
    </row>
    <row r="45" spans="1:39">
      <c r="A45" s="55" t="s">
        <v>485</v>
      </c>
      <c r="B45" s="86">
        <v>36045</v>
      </c>
      <c r="C45" s="86">
        <v>35249</v>
      </c>
      <c r="D45" s="87">
        <f t="shared" si="2"/>
        <v>-796</v>
      </c>
      <c r="E45" s="88">
        <v>-2.2083506727701483</v>
      </c>
      <c r="F45" s="89"/>
      <c r="G45" s="90">
        <v>-3430.4756031723045</v>
      </c>
      <c r="H45" s="91">
        <v>-9.6660311960563803</v>
      </c>
      <c r="I45" s="89"/>
      <c r="J45" s="92">
        <f t="shared" si="3"/>
        <v>440.9258761475221</v>
      </c>
      <c r="K45" s="94">
        <v>1.2508890355684477</v>
      </c>
    </row>
    <row r="46" spans="1:39" ht="15" thickBot="1">
      <c r="A46" s="56" t="s">
        <v>486</v>
      </c>
      <c r="B46" s="97">
        <v>11457</v>
      </c>
      <c r="C46" s="97">
        <v>11640</v>
      </c>
      <c r="D46" s="98">
        <f t="shared" si="2"/>
        <v>183</v>
      </c>
      <c r="E46" s="99">
        <v>1.5972767740246137</v>
      </c>
      <c r="F46" s="100"/>
      <c r="G46" s="101">
        <v>-1749.0037935683099</v>
      </c>
      <c r="H46" s="102">
        <v>-15.0089521866858</v>
      </c>
      <c r="I46" s="100"/>
      <c r="J46" s="103">
        <f t="shared" si="3"/>
        <v>145.60348374016732</v>
      </c>
      <c r="K46" s="104">
        <v>1.2508890355684477</v>
      </c>
    </row>
    <row r="47" spans="1:39" ht="15" thickBot="1"/>
    <row r="48" spans="1:39" ht="15" thickBot="1">
      <c r="A48" s="130" t="s">
        <v>500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2"/>
    </row>
    <row r="49" spans="1:11" ht="72.95" thickBot="1">
      <c r="A49" s="78" t="s">
        <v>429</v>
      </c>
      <c r="B49" s="79" t="s">
        <v>489</v>
      </c>
      <c r="C49" s="79" t="s">
        <v>490</v>
      </c>
      <c r="D49" s="80" t="s">
        <v>491</v>
      </c>
      <c r="E49" s="80" t="s">
        <v>492</v>
      </c>
      <c r="F49" s="79"/>
      <c r="G49" s="81" t="s">
        <v>493</v>
      </c>
      <c r="H49" s="81" t="s">
        <v>494</v>
      </c>
      <c r="I49" s="82"/>
      <c r="J49" s="83" t="s">
        <v>495</v>
      </c>
      <c r="K49" s="84" t="s">
        <v>496</v>
      </c>
    </row>
    <row r="50" spans="1:11">
      <c r="A50" s="117" t="s">
        <v>314</v>
      </c>
      <c r="B50" s="105">
        <f>SUM(B3:B12,B15:B22,B25:B27)</f>
        <v>229519</v>
      </c>
      <c r="C50" s="105">
        <f>SUM(C3:C12,C15:C22,C25:C27)</f>
        <v>205217</v>
      </c>
      <c r="D50" s="105">
        <f>SUM(D3:D12,D15:D22,D25:D27)</f>
        <v>-24302</v>
      </c>
      <c r="E50" s="106">
        <f>D50/B50*100</f>
        <v>-10.588230168308506</v>
      </c>
      <c r="F50" s="107"/>
      <c r="G50" s="105">
        <f>SUM(G3:G12,G15:G22,G25:G27)</f>
        <v>-11989.511342085283</v>
      </c>
      <c r="H50" s="106">
        <f>G50/C50*100</f>
        <v>-5.8423577686474726</v>
      </c>
      <c r="I50" s="107"/>
      <c r="J50" s="105">
        <f>SUM(J3:J12,J15:J22,J25:J27)</f>
        <v>-3387.6330720578326</v>
      </c>
      <c r="K50" s="108">
        <f>J50/C50*100</f>
        <v>-1.6507565513860123</v>
      </c>
    </row>
    <row r="51" spans="1:11">
      <c r="A51" s="118" t="s">
        <v>501</v>
      </c>
      <c r="B51" s="109">
        <f>SUM(B28:B33)</f>
        <v>299693</v>
      </c>
      <c r="C51" s="109">
        <f>SUM(C28:C33)</f>
        <v>293289</v>
      </c>
      <c r="D51" s="109">
        <f>SUM(D28:D33)</f>
        <v>-6404</v>
      </c>
      <c r="E51" s="110">
        <f>D51/B51*100</f>
        <v>-2.1368533799588243</v>
      </c>
      <c r="F51" s="89"/>
      <c r="G51" s="109">
        <f>SUM(G28:G33)</f>
        <v>6219.6638740815633</v>
      </c>
      <c r="H51" s="110">
        <f>G51/C51*100</f>
        <v>2.1206604659845967</v>
      </c>
      <c r="I51" s="89"/>
      <c r="J51" s="109">
        <f>SUM(J28:J33)</f>
        <v>-1500.220110058724</v>
      </c>
      <c r="K51" s="111">
        <f>J51/C51*100</f>
        <v>-0.51151598254920028</v>
      </c>
    </row>
    <row r="52" spans="1:11">
      <c r="A52" s="118" t="s">
        <v>348</v>
      </c>
      <c r="B52" s="109">
        <f>SUM(B36:B46)</f>
        <v>226562.0778045654</v>
      </c>
      <c r="C52" s="109">
        <f>SUM(C36:C46)</f>
        <v>231829</v>
      </c>
      <c r="D52" s="109">
        <f>SUM(D36:D46)</f>
        <v>5266.9221954345994</v>
      </c>
      <c r="E52" s="110">
        <f>D52/B52*100</f>
        <v>2.3247148183280242</v>
      </c>
      <c r="F52" s="89"/>
      <c r="G52" s="109">
        <f>SUM(G36:G46)</f>
        <v>-1503.6608102071286</v>
      </c>
      <c r="H52" s="110">
        <f>G52/C52*100</f>
        <v>-0.64860772819928858</v>
      </c>
      <c r="I52" s="89"/>
      <c r="J52" s="109">
        <f>SUM(J36:J46)</f>
        <v>-1536.4104439488085</v>
      </c>
      <c r="K52" s="111">
        <f>J52/C52*100</f>
        <v>-0.66273436194298752</v>
      </c>
    </row>
    <row r="53" spans="1:11">
      <c r="A53" s="119"/>
      <c r="B53" s="89"/>
      <c r="C53" s="89"/>
      <c r="D53" s="89"/>
      <c r="E53" s="112"/>
      <c r="F53" s="89"/>
      <c r="G53" s="89"/>
      <c r="H53" s="112"/>
      <c r="I53" s="89"/>
      <c r="J53" s="89"/>
      <c r="K53" s="113"/>
    </row>
    <row r="54" spans="1:11">
      <c r="A54" s="118" t="s">
        <v>502</v>
      </c>
      <c r="B54" s="109">
        <f>SUM(B50:B51)</f>
        <v>529212</v>
      </c>
      <c r="C54" s="109">
        <f>SUM(C50:C51)</f>
        <v>498506</v>
      </c>
      <c r="D54" s="109">
        <f>SUM(D50:D51)</f>
        <v>-30706</v>
      </c>
      <c r="E54" s="110">
        <f>D54/B54*100</f>
        <v>-5.8022115900622051</v>
      </c>
      <c r="F54" s="89"/>
      <c r="G54" s="109">
        <f>SUM(G50:G51)</f>
        <v>-5769.8474680037198</v>
      </c>
      <c r="H54" s="110">
        <f>G54/C54*100</f>
        <v>-1.1574278881304778</v>
      </c>
      <c r="I54" s="89"/>
      <c r="J54" s="109">
        <f>SUM(J50:J51)</f>
        <v>-4887.8531821165561</v>
      </c>
      <c r="K54" s="111">
        <f>J54/C54*100</f>
        <v>-0.98050037153345326</v>
      </c>
    </row>
    <row r="55" spans="1:11" ht="15" thickBot="1">
      <c r="A55" s="120" t="s">
        <v>487</v>
      </c>
      <c r="B55" s="114">
        <f>SUM(B50:B52)</f>
        <v>755774.07780456543</v>
      </c>
      <c r="C55" s="114">
        <f>SUM(C50:C52)</f>
        <v>730335</v>
      </c>
      <c r="D55" s="114">
        <f>SUM(D50:D52)</f>
        <v>-25439.077804565401</v>
      </c>
      <c r="E55" s="115">
        <f>D55/B55*100</f>
        <v>-3.3659632622572766</v>
      </c>
      <c r="F55" s="100"/>
      <c r="G55" s="114">
        <f>SUM(G50:G52)</f>
        <v>-7273.5082782108484</v>
      </c>
      <c r="H55" s="115">
        <f>G55/C55*100</f>
        <v>-0.99591396800247123</v>
      </c>
      <c r="I55" s="100"/>
      <c r="J55" s="114">
        <f>SUM(J50:J52)</f>
        <v>-6424.2636260653644</v>
      </c>
      <c r="K55" s="116">
        <f>J55/C55*100</f>
        <v>-0.87963244621514292</v>
      </c>
    </row>
    <row r="56" spans="1:11" ht="15" thickBot="1"/>
    <row r="57" spans="1:11" ht="15" thickBot="1">
      <c r="A57" s="130" t="s">
        <v>503</v>
      </c>
      <c r="B57" s="131"/>
      <c r="C57" s="131"/>
      <c r="D57" s="131"/>
      <c r="E57" s="131"/>
      <c r="F57" s="131"/>
      <c r="G57" s="131"/>
      <c r="H57" s="131"/>
      <c r="I57" s="131"/>
      <c r="J57" s="131"/>
      <c r="K57" s="132"/>
    </row>
    <row r="58" spans="1:11" ht="72.95" thickBot="1">
      <c r="A58" s="71" t="s">
        <v>429</v>
      </c>
      <c r="B58" s="72" t="s">
        <v>489</v>
      </c>
      <c r="C58" s="72" t="s">
        <v>490</v>
      </c>
      <c r="D58" s="73" t="s">
        <v>491</v>
      </c>
      <c r="E58" s="73" t="s">
        <v>492</v>
      </c>
      <c r="F58" s="72"/>
      <c r="G58" s="74" t="s">
        <v>493</v>
      </c>
      <c r="H58" s="74" t="s">
        <v>494</v>
      </c>
      <c r="I58" s="75"/>
      <c r="J58" s="76" t="s">
        <v>495</v>
      </c>
      <c r="K58" s="77" t="s">
        <v>496</v>
      </c>
    </row>
    <row r="59" spans="1:11">
      <c r="A59" s="121" t="s">
        <v>504</v>
      </c>
      <c r="B59" s="122">
        <f>SUM(B3:B12)</f>
        <v>83724</v>
      </c>
      <c r="C59" s="122">
        <f>SUM(C3:C12)</f>
        <v>72604</v>
      </c>
      <c r="D59" s="122">
        <f>SUM(D3:D12)</f>
        <v>-11120</v>
      </c>
      <c r="E59" s="123">
        <f>D59/B59*100</f>
        <v>-13.281735225263963</v>
      </c>
      <c r="F59" s="124"/>
      <c r="G59" s="122">
        <f>SUM(G3:G12)</f>
        <v>-4956.6057259177005</v>
      </c>
      <c r="H59" s="123">
        <f>G59/C59*100</f>
        <v>-6.8269044762240387</v>
      </c>
      <c r="I59" s="124"/>
      <c r="J59" s="122">
        <f>SUM(J3:J12)</f>
        <v>-1434.0330152185938</v>
      </c>
      <c r="K59" s="125">
        <f>J59/C59*100</f>
        <v>-1.9751432637576356</v>
      </c>
    </row>
    <row r="60" spans="1:11">
      <c r="A60" s="118" t="s">
        <v>505</v>
      </c>
      <c r="B60" s="109">
        <f>SUM(B15:B16)</f>
        <v>55424</v>
      </c>
      <c r="C60" s="109">
        <f>SUM(C15:C16)</f>
        <v>47550</v>
      </c>
      <c r="D60" s="109">
        <f>SUM(D15:D16)</f>
        <v>-7874</v>
      </c>
      <c r="E60" s="110">
        <f>D60/B60*100</f>
        <v>-14.20684180138568</v>
      </c>
      <c r="F60" s="89"/>
      <c r="G60" s="109">
        <f>SUM(G15:G16)</f>
        <v>-2138.5892162826999</v>
      </c>
      <c r="H60" s="110">
        <f>G60/C60*100</f>
        <v>-4.4975588144746581</v>
      </c>
      <c r="I60" s="89"/>
      <c r="J60" s="109">
        <f>SUM(J15:J16)</f>
        <v>-851.15948299990555</v>
      </c>
      <c r="K60" s="111">
        <f>J60/C60*100</f>
        <v>-1.7900304584645754</v>
      </c>
    </row>
    <row r="61" spans="1:11">
      <c r="A61" s="118" t="s">
        <v>506</v>
      </c>
      <c r="B61" s="109">
        <f>SUM(B17:B18)</f>
        <v>19277</v>
      </c>
      <c r="C61" s="109">
        <f>SUM(C17:C18)</f>
        <v>16337</v>
      </c>
      <c r="D61" s="109">
        <f>SUM(D17:D18)</f>
        <v>-2940</v>
      </c>
      <c r="E61" s="110">
        <f>D61/B61*100</f>
        <v>-15.251335788763813</v>
      </c>
      <c r="F61" s="89"/>
      <c r="G61" s="109">
        <f>SUM(G17:G18)</f>
        <v>-2397.3702269837904</v>
      </c>
      <c r="H61" s="110">
        <f>G61/C61*100</f>
        <v>-14.674482628290326</v>
      </c>
      <c r="I61" s="89"/>
      <c r="J61" s="109">
        <f>SUM(J17:J18)</f>
        <v>-639.22686884949155</v>
      </c>
      <c r="K61" s="111">
        <f>J61/C61*100</f>
        <v>-3.9127555172277133</v>
      </c>
    </row>
    <row r="62" spans="1:11">
      <c r="A62" s="118" t="s">
        <v>507</v>
      </c>
      <c r="B62" s="109">
        <f>SUM(B19:B22)</f>
        <v>53718</v>
      </c>
      <c r="C62" s="109">
        <f>SUM(C19:C22)</f>
        <v>50443</v>
      </c>
      <c r="D62" s="109">
        <f>SUM(D19:D22)</f>
        <v>-3275</v>
      </c>
      <c r="E62" s="110">
        <f>D62/B62*100</f>
        <v>-6.0966528910234929</v>
      </c>
      <c r="F62" s="89"/>
      <c r="G62" s="109">
        <f>SUM(G19:G22)</f>
        <v>-2110.5908972036</v>
      </c>
      <c r="H62" s="110">
        <f>G62/C62*100</f>
        <v>-4.1841105747152234</v>
      </c>
      <c r="I62" s="89"/>
      <c r="J62" s="109">
        <f>SUM(J19:J22)</f>
        <v>-800.01296935316964</v>
      </c>
      <c r="K62" s="111">
        <f>J62/C62*100</f>
        <v>-1.5859742072302789</v>
      </c>
    </row>
    <row r="63" spans="1:11">
      <c r="A63" s="118" t="s">
        <v>508</v>
      </c>
      <c r="B63" s="109">
        <f>SUM(B25:B27)</f>
        <v>17376</v>
      </c>
      <c r="C63" s="109">
        <f>SUM(C25:C27)</f>
        <v>18283</v>
      </c>
      <c r="D63" s="109">
        <f>SUM(D25:D27)</f>
        <v>907</v>
      </c>
      <c r="E63" s="110">
        <f>D63/B63*100</f>
        <v>5.2198434622467778</v>
      </c>
      <c r="F63" s="89"/>
      <c r="G63" s="109">
        <f>SUM(G25:G27)</f>
        <v>-386.35527569748888</v>
      </c>
      <c r="H63" s="110">
        <f>G63/C63*100</f>
        <v>-2.1131940912185576</v>
      </c>
      <c r="I63" s="89"/>
      <c r="J63" s="109">
        <f>SUM(J25:J27)</f>
        <v>336.79926436332704</v>
      </c>
      <c r="K63" s="111">
        <f>J63/C63*100</f>
        <v>1.8421444202993329</v>
      </c>
    </row>
    <row r="64" spans="1:11">
      <c r="A64" s="118" t="s">
        <v>509</v>
      </c>
      <c r="B64" s="109">
        <f>SUM(B28:B30)</f>
        <v>116698</v>
      </c>
      <c r="C64" s="109">
        <f>SUM(C28:C30)</f>
        <v>120207</v>
      </c>
      <c r="D64" s="109">
        <f>SUM(D28:D30)</f>
        <v>3509</v>
      </c>
      <c r="E64" s="110">
        <f>D64/B64*100</f>
        <v>3.006906716481859</v>
      </c>
      <c r="F64" s="89"/>
      <c r="G64" s="109">
        <f>SUM(G28:G30)</f>
        <v>4282.6679843520033</v>
      </c>
      <c r="H64" s="110">
        <f>G64/C64*100</f>
        <v>3.5627442531233648</v>
      </c>
      <c r="I64" s="89"/>
      <c r="J64" s="109">
        <f>SUM(J28:J30)</f>
        <v>3828.9070298326778</v>
      </c>
      <c r="K64" s="111">
        <f>J64/C64*100</f>
        <v>3.1852612824816178</v>
      </c>
    </row>
    <row r="65" spans="1:11">
      <c r="A65" s="118" t="s">
        <v>510</v>
      </c>
      <c r="B65" s="109">
        <f>SUM(B31:B33)</f>
        <v>182995</v>
      </c>
      <c r="C65" s="109">
        <f>SUM(C31:C33)</f>
        <v>173082</v>
      </c>
      <c r="D65" s="109">
        <f>SUM(D31:D33)</f>
        <v>-9913</v>
      </c>
      <c r="E65" s="110">
        <f>D65/B65*100</f>
        <v>-5.4170878985764634</v>
      </c>
      <c r="F65" s="89"/>
      <c r="G65" s="109">
        <f>SUM(G31:G33)</f>
        <v>1936.9958897295601</v>
      </c>
      <c r="H65" s="110">
        <f>G65/C65*100</f>
        <v>1.119120353202274</v>
      </c>
      <c r="I65" s="89"/>
      <c r="J65" s="109">
        <f>SUM(J31:J33)</f>
        <v>-5329.1271398914023</v>
      </c>
      <c r="K65" s="111">
        <f>J65/C65*100</f>
        <v>-3.0789609201947066</v>
      </c>
    </row>
    <row r="66" spans="1:11" ht="29.1">
      <c r="A66" s="118" t="s">
        <v>511</v>
      </c>
      <c r="B66" s="109">
        <f>SUM(B36:B42)</f>
        <v>110520.0778045654</v>
      </c>
      <c r="C66" s="109">
        <f>SUM(C36:C42)</f>
        <v>115340</v>
      </c>
      <c r="D66" s="109">
        <f>SUM(D36:D42)</f>
        <v>4819.9221954345994</v>
      </c>
      <c r="E66" s="110">
        <f>D66/B66*100</f>
        <v>4.3611281236679487</v>
      </c>
      <c r="F66" s="89"/>
      <c r="G66" s="109">
        <f>SUM(G36:G42)</f>
        <v>1601.1145544194937</v>
      </c>
      <c r="H66" s="110">
        <f>G66/C66*100</f>
        <v>1.3881693726543209</v>
      </c>
      <c r="I66" s="89"/>
      <c r="J66" s="109">
        <f>SUM(J36:J42)</f>
        <v>-1772.8986894805689</v>
      </c>
      <c r="K66" s="111">
        <f>J66/C66*100</f>
        <v>-1.5371065454140531</v>
      </c>
    </row>
    <row r="67" spans="1:11">
      <c r="A67" s="118" t="s">
        <v>512</v>
      </c>
      <c r="B67" s="109">
        <f>SUM(B43:B44)</f>
        <v>68540</v>
      </c>
      <c r="C67" s="109">
        <f>SUM(C43:C44)</f>
        <v>69600</v>
      </c>
      <c r="D67" s="109">
        <f>SUM(D43:D44)</f>
        <v>1060</v>
      </c>
      <c r="E67" s="110">
        <f>D67/B67*100</f>
        <v>1.5465421651590312</v>
      </c>
      <c r="F67" s="89"/>
      <c r="G67" s="109">
        <f>SUM(G43:G44)</f>
        <v>2074.7040321139921</v>
      </c>
      <c r="H67" s="110">
        <f>G67/C67*100</f>
        <v>2.9808965978649309</v>
      </c>
      <c r="I67" s="89"/>
      <c r="J67" s="109">
        <f>SUM(J43:J44)</f>
        <v>-350.04111435592893</v>
      </c>
      <c r="K67" s="111">
        <f>J67/C67*100</f>
        <v>-0.50293263556886336</v>
      </c>
    </row>
    <row r="68" spans="1:11" ht="15" thickBot="1">
      <c r="A68" s="120" t="s">
        <v>513</v>
      </c>
      <c r="B68" s="114">
        <f>SUM(B45:B46)</f>
        <v>47502</v>
      </c>
      <c r="C68" s="114">
        <f>SUM(C45:C46)</f>
        <v>46889</v>
      </c>
      <c r="D68" s="114">
        <f>SUM(D45:D46)</f>
        <v>-613</v>
      </c>
      <c r="E68" s="110">
        <f>D68/B68*100</f>
        <v>-1.2904719801271525</v>
      </c>
      <c r="F68" s="100"/>
      <c r="G68" s="114">
        <f>SUM(G45:G46)</f>
        <v>-5179.4793967406149</v>
      </c>
      <c r="H68" s="110">
        <f>G68/C68*100</f>
        <v>-11.046256897653214</v>
      </c>
      <c r="I68" s="100"/>
      <c r="J68" s="114">
        <f>SUM(J45:J46)</f>
        <v>586.52935988768945</v>
      </c>
      <c r="K68" s="111">
        <f>J68/C68*100</f>
        <v>1.2508890355684477</v>
      </c>
    </row>
  </sheetData>
  <mergeCells count="6">
    <mergeCell ref="A57:K57"/>
    <mergeCell ref="A1:K1"/>
    <mergeCell ref="A13:K13"/>
    <mergeCell ref="A23:K23"/>
    <mergeCell ref="A34:K34"/>
    <mergeCell ref="A48:K48"/>
  </mergeCells>
  <hyperlinks>
    <hyperlink ref="AI16" r:id="rId1" xr:uid="{0269891F-16DD-46D4-BACE-27C72B0232E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87C4-63D9-4A72-8E41-CE6F374B8A5C}">
  <dimension ref="A1:H68"/>
  <sheetViews>
    <sheetView topLeftCell="A40" workbookViewId="0">
      <selection activeCell="G55" sqref="G55"/>
    </sheetView>
  </sheetViews>
  <sheetFormatPr defaultRowHeight="14.45"/>
  <cols>
    <col min="1" max="1" width="39.85546875" customWidth="1"/>
    <col min="2" max="3" width="11.5703125" bestFit="1" customWidth="1"/>
    <col min="6" max="6" width="4.5703125" customWidth="1"/>
    <col min="7" max="7" width="9.5703125" bestFit="1" customWidth="1"/>
  </cols>
  <sheetData>
    <row r="1" spans="1:8" ht="15" thickBot="1">
      <c r="A1" s="130" t="s">
        <v>488</v>
      </c>
      <c r="B1" s="131"/>
      <c r="C1" s="131"/>
      <c r="D1" s="131"/>
      <c r="E1" s="131"/>
      <c r="F1" s="131"/>
      <c r="G1" s="131"/>
      <c r="H1" s="132"/>
    </row>
    <row r="2" spans="1:8" ht="72.599999999999994">
      <c r="A2" s="57" t="s">
        <v>429</v>
      </c>
      <c r="B2" s="58" t="s">
        <v>489</v>
      </c>
      <c r="C2" s="58" t="s">
        <v>490</v>
      </c>
      <c r="D2" s="63" t="s">
        <v>491</v>
      </c>
      <c r="E2" s="63" t="s">
        <v>492</v>
      </c>
      <c r="F2" s="58"/>
      <c r="G2" s="61" t="s">
        <v>495</v>
      </c>
      <c r="H2" s="62" t="s">
        <v>496</v>
      </c>
    </row>
    <row r="3" spans="1:8" ht="29.1">
      <c r="A3" s="55" t="s">
        <v>432</v>
      </c>
      <c r="B3" s="86">
        <v>7265</v>
      </c>
      <c r="C3" s="86">
        <v>5524</v>
      </c>
      <c r="D3" s="87">
        <f>C3-B3</f>
        <v>-1741</v>
      </c>
      <c r="E3" s="88">
        <v>-23.964211975223677</v>
      </c>
      <c r="F3" s="89"/>
      <c r="G3" s="92">
        <f>(H3/100)*C3</f>
        <v>44.816212567149805</v>
      </c>
      <c r="H3" s="93">
        <v>0.81130001026701315</v>
      </c>
    </row>
    <row r="4" spans="1:8" ht="29.1">
      <c r="A4" s="55" t="s">
        <v>433</v>
      </c>
      <c r="B4" s="86">
        <v>4874</v>
      </c>
      <c r="C4" s="86">
        <v>4347</v>
      </c>
      <c r="D4" s="87">
        <f t="shared" ref="D4:D11" si="0">C4-B4</f>
        <v>-527</v>
      </c>
      <c r="E4" s="88">
        <v>-10.812474353713581</v>
      </c>
      <c r="F4" s="89"/>
      <c r="G4" s="92">
        <f>(H4/100)*C4</f>
        <v>35.267211446307059</v>
      </c>
      <c r="H4" s="93">
        <v>0.81130001026701315</v>
      </c>
    </row>
    <row r="5" spans="1:8">
      <c r="A5" s="55" t="s">
        <v>435</v>
      </c>
      <c r="B5" s="86">
        <v>36820</v>
      </c>
      <c r="C5" s="86">
        <v>34371</v>
      </c>
      <c r="D5" s="87">
        <f t="shared" si="0"/>
        <v>-2449</v>
      </c>
      <c r="E5" s="88">
        <v>-6.6512764801738191</v>
      </c>
      <c r="F5" s="89"/>
      <c r="G5" s="92">
        <f>(H5/100)*C5</f>
        <v>-607.53042662508028</v>
      </c>
      <c r="H5" s="93">
        <v>-1.7675669216056566</v>
      </c>
    </row>
    <row r="6" spans="1:8">
      <c r="A6" s="55" t="s">
        <v>436</v>
      </c>
      <c r="B6" s="86">
        <v>6003</v>
      </c>
      <c r="C6" s="86">
        <v>5147</v>
      </c>
      <c r="D6" s="87">
        <f t="shared" si="0"/>
        <v>-856</v>
      </c>
      <c r="E6" s="88">
        <v>-14.25953689821756</v>
      </c>
      <c r="F6" s="89"/>
      <c r="G6" s="92">
        <f>(H6/100)*C6</f>
        <v>-90.976669455043151</v>
      </c>
      <c r="H6" s="93">
        <v>-1.7675669216056566</v>
      </c>
    </row>
    <row r="7" spans="1:8">
      <c r="A7" s="55" t="s">
        <v>438</v>
      </c>
      <c r="B7" s="86">
        <v>3185</v>
      </c>
      <c r="C7" s="86">
        <v>2802</v>
      </c>
      <c r="D7" s="87">
        <f t="shared" si="0"/>
        <v>-383</v>
      </c>
      <c r="E7" s="88">
        <v>-12.025117739403454</v>
      </c>
      <c r="F7" s="89"/>
      <c r="G7" s="92">
        <f>(H7/100)*C7</f>
        <v>-73.415870280295323</v>
      </c>
      <c r="H7" s="93">
        <v>-2.6201238501176061</v>
      </c>
    </row>
    <row r="8" spans="1:8" ht="29.1">
      <c r="A8" s="55" t="s">
        <v>440</v>
      </c>
      <c r="B8" s="86">
        <v>5228</v>
      </c>
      <c r="C8" s="86">
        <v>3258</v>
      </c>
      <c r="D8" s="87">
        <f t="shared" si="0"/>
        <v>-1970</v>
      </c>
      <c r="E8" s="88">
        <v>-37.681713848508039</v>
      </c>
      <c r="F8" s="89"/>
      <c r="G8" s="92">
        <f>(H8/100)*C8</f>
        <v>-159.11462552077529</v>
      </c>
      <c r="H8" s="93">
        <v>-4.8838129380225688</v>
      </c>
    </row>
    <row r="9" spans="1:8" ht="29.1">
      <c r="A9" s="55" t="s">
        <v>441</v>
      </c>
      <c r="B9" s="86">
        <v>1790</v>
      </c>
      <c r="C9" s="86">
        <v>1974</v>
      </c>
      <c r="D9" s="87">
        <f t="shared" si="0"/>
        <v>184</v>
      </c>
      <c r="E9" s="88">
        <v>10.279329608938548</v>
      </c>
      <c r="F9" s="89"/>
      <c r="G9" s="92">
        <f>(H9/100)*C9</f>
        <v>-96.406467396565503</v>
      </c>
      <c r="H9" s="93">
        <v>-4.8838129380225688</v>
      </c>
    </row>
    <row r="10" spans="1:8" ht="29.1">
      <c r="A10" s="55" t="s">
        <v>442</v>
      </c>
      <c r="B10" s="86">
        <v>3436</v>
      </c>
      <c r="C10" s="86">
        <v>2698</v>
      </c>
      <c r="D10" s="87">
        <f t="shared" si="0"/>
        <v>-738</v>
      </c>
      <c r="E10" s="88">
        <v>-21.47846332945285</v>
      </c>
      <c r="F10" s="89"/>
      <c r="G10" s="92">
        <f>(H10/100)*C10</f>
        <v>-131.76527306784891</v>
      </c>
      <c r="H10" s="93">
        <v>-4.8838129380225688</v>
      </c>
    </row>
    <row r="11" spans="1:8" ht="29.1">
      <c r="A11" s="55" t="s">
        <v>443</v>
      </c>
      <c r="B11" s="86">
        <v>1414</v>
      </c>
      <c r="C11" s="86">
        <v>1262</v>
      </c>
      <c r="D11" s="87">
        <f t="shared" si="0"/>
        <v>-152</v>
      </c>
      <c r="E11" s="88">
        <v>-10.74964639321075</v>
      </c>
      <c r="F11" s="89"/>
      <c r="G11" s="92">
        <f>(H11/100)*C11</f>
        <v>-61.633719277844811</v>
      </c>
      <c r="H11" s="93">
        <v>-4.8838129380225688</v>
      </c>
    </row>
    <row r="12" spans="1:8" ht="29.45" thickBot="1">
      <c r="A12" s="85" t="s">
        <v>445</v>
      </c>
      <c r="B12" s="86">
        <v>13709</v>
      </c>
      <c r="C12" s="86">
        <v>11221</v>
      </c>
      <c r="D12" s="87">
        <f>C12-B12</f>
        <v>-2488</v>
      </c>
      <c r="E12" s="88">
        <v>-18.148661463272305</v>
      </c>
      <c r="F12" s="89"/>
      <c r="G12" s="92">
        <f>(H12/100)*C12</f>
        <v>-293.27338760859743</v>
      </c>
      <c r="H12" s="93">
        <v>-2.6136118671116426</v>
      </c>
    </row>
    <row r="13" spans="1:8" ht="15" thickBot="1">
      <c r="A13" s="130" t="s">
        <v>497</v>
      </c>
      <c r="B13" s="131"/>
      <c r="C13" s="131"/>
      <c r="D13" s="131"/>
      <c r="E13" s="131"/>
      <c r="F13" s="131"/>
      <c r="G13" s="131"/>
      <c r="H13" s="132"/>
    </row>
    <row r="14" spans="1:8" ht="72.599999999999994">
      <c r="A14" s="57" t="s">
        <v>429</v>
      </c>
      <c r="B14" s="58" t="s">
        <v>489</v>
      </c>
      <c r="C14" s="58" t="s">
        <v>490</v>
      </c>
      <c r="D14" s="63" t="s">
        <v>491</v>
      </c>
      <c r="E14" s="63" t="s">
        <v>492</v>
      </c>
      <c r="F14" s="58"/>
      <c r="G14" s="61" t="s">
        <v>495</v>
      </c>
      <c r="H14" s="62" t="s">
        <v>496</v>
      </c>
    </row>
    <row r="15" spans="1:8">
      <c r="A15" s="55" t="s">
        <v>447</v>
      </c>
      <c r="B15" s="86">
        <v>38331</v>
      </c>
      <c r="C15" s="86">
        <v>29604</v>
      </c>
      <c r="D15" s="87">
        <f t="shared" ref="D15:D46" si="1">C15-B15</f>
        <v>-8727</v>
      </c>
      <c r="E15" s="88">
        <v>-22.767472802692339</v>
      </c>
      <c r="F15" s="89"/>
      <c r="G15" s="92">
        <f>(H15/100)*C15</f>
        <v>-529.92061692385289</v>
      </c>
      <c r="H15" s="94">
        <v>-1.7900304584645754</v>
      </c>
    </row>
    <row r="16" spans="1:8" ht="29.1">
      <c r="A16" s="55" t="s">
        <v>448</v>
      </c>
      <c r="B16" s="86">
        <v>17093</v>
      </c>
      <c r="C16" s="86">
        <v>17946</v>
      </c>
      <c r="D16" s="87">
        <f t="shared" si="1"/>
        <v>853</v>
      </c>
      <c r="E16" s="88">
        <v>4.9903469256420756</v>
      </c>
      <c r="F16" s="89"/>
      <c r="G16" s="92">
        <f>(H16/100)*C16</f>
        <v>-321.23886607605272</v>
      </c>
      <c r="H16" s="94">
        <v>-1.7900304584645754</v>
      </c>
    </row>
    <row r="17" spans="1:8">
      <c r="A17" s="55" t="s">
        <v>449</v>
      </c>
      <c r="B17" s="86">
        <v>10846</v>
      </c>
      <c r="C17" s="86">
        <v>9349</v>
      </c>
      <c r="D17" s="87">
        <f t="shared" si="1"/>
        <v>-1497</v>
      </c>
      <c r="E17" s="88">
        <v>-13.802323437211875</v>
      </c>
      <c r="F17" s="89"/>
      <c r="G17" s="92">
        <f>(H17/100)*C17</f>
        <v>-456.58767157572993</v>
      </c>
      <c r="H17" s="94">
        <v>-4.8838129380225688</v>
      </c>
    </row>
    <row r="18" spans="1:8">
      <c r="A18" s="55" t="s">
        <v>450</v>
      </c>
      <c r="B18" s="86">
        <v>8431</v>
      </c>
      <c r="C18" s="86">
        <v>6988</v>
      </c>
      <c r="D18" s="87">
        <f t="shared" si="1"/>
        <v>-1443</v>
      </c>
      <c r="E18" s="88">
        <v>-17.115407424979242</v>
      </c>
      <c r="F18" s="89"/>
      <c r="G18" s="92">
        <f>(H18/100)*C18</f>
        <v>-182.6391972737616</v>
      </c>
      <c r="H18" s="94">
        <v>-2.6136118671116426</v>
      </c>
    </row>
    <row r="19" spans="1:8">
      <c r="A19" s="55" t="s">
        <v>451</v>
      </c>
      <c r="B19" s="86">
        <v>3444</v>
      </c>
      <c r="C19" s="86">
        <v>2869</v>
      </c>
      <c r="D19" s="87">
        <f t="shared" si="1"/>
        <v>-575</v>
      </c>
      <c r="E19" s="88">
        <v>-16.695702671312425</v>
      </c>
      <c r="F19" s="89"/>
      <c r="G19" s="92">
        <f>(H19/100)*C19</f>
        <v>-74.984524467433033</v>
      </c>
      <c r="H19" s="94">
        <v>-2.6136118671116426</v>
      </c>
    </row>
    <row r="20" spans="1:8" ht="29.1">
      <c r="A20" s="55" t="s">
        <v>452</v>
      </c>
      <c r="B20" s="86">
        <v>28818</v>
      </c>
      <c r="C20" s="86">
        <v>24530</v>
      </c>
      <c r="D20" s="87">
        <f t="shared" si="1"/>
        <v>-4288</v>
      </c>
      <c r="E20" s="88">
        <v>-14.879589145672846</v>
      </c>
      <c r="F20" s="89"/>
      <c r="G20" s="92">
        <f>(H20/100)*C20</f>
        <v>-641.11899100248593</v>
      </c>
      <c r="H20" s="94">
        <v>-2.6136118671116426</v>
      </c>
    </row>
    <row r="21" spans="1:8" ht="29.1">
      <c r="A21" s="55" t="s">
        <v>453</v>
      </c>
      <c r="B21" s="86">
        <v>11286</v>
      </c>
      <c r="C21" s="86">
        <v>10865</v>
      </c>
      <c r="D21" s="87">
        <f t="shared" si="1"/>
        <v>-421</v>
      </c>
      <c r="E21" s="88">
        <v>-3.7302853092326775</v>
      </c>
      <c r="F21" s="89"/>
      <c r="G21" s="92">
        <f>(H21/100)*C21</f>
        <v>-283.96892936167995</v>
      </c>
      <c r="H21" s="94">
        <v>-2.6136118671116426</v>
      </c>
    </row>
    <row r="22" spans="1:8" ht="29.45" thickBot="1">
      <c r="A22" s="55" t="s">
        <v>455</v>
      </c>
      <c r="B22" s="86">
        <v>10170</v>
      </c>
      <c r="C22" s="86">
        <v>12179</v>
      </c>
      <c r="D22" s="87">
        <f t="shared" si="1"/>
        <v>2009</v>
      </c>
      <c r="E22" s="88">
        <v>19.754178957718782</v>
      </c>
      <c r="F22" s="89"/>
      <c r="G22" s="92">
        <f>(H22/100)*C22</f>
        <v>200.05947547842922</v>
      </c>
      <c r="H22" s="94">
        <v>1.6426592945104623</v>
      </c>
    </row>
    <row r="23" spans="1:8" ht="15" thickBot="1">
      <c r="A23" s="130" t="s">
        <v>498</v>
      </c>
      <c r="B23" s="131"/>
      <c r="C23" s="131"/>
      <c r="D23" s="131"/>
      <c r="E23" s="131"/>
      <c r="F23" s="131"/>
      <c r="G23" s="131"/>
      <c r="H23" s="132"/>
    </row>
    <row r="24" spans="1:8" ht="72.599999999999994">
      <c r="A24" s="64" t="s">
        <v>429</v>
      </c>
      <c r="B24" s="65" t="s">
        <v>489</v>
      </c>
      <c r="C24" s="65" t="s">
        <v>490</v>
      </c>
      <c r="D24" s="66" t="s">
        <v>491</v>
      </c>
      <c r="E24" s="66" t="s">
        <v>492</v>
      </c>
      <c r="F24" s="65"/>
      <c r="G24" s="69" t="s">
        <v>495</v>
      </c>
      <c r="H24" s="70" t="s">
        <v>496</v>
      </c>
    </row>
    <row r="25" spans="1:8" ht="29.1">
      <c r="A25" s="55" t="s">
        <v>456</v>
      </c>
      <c r="B25" s="86">
        <v>4502</v>
      </c>
      <c r="C25" s="86">
        <v>4970</v>
      </c>
      <c r="D25" s="87">
        <f t="shared" si="1"/>
        <v>468</v>
      </c>
      <c r="E25" s="88">
        <v>10.395379831186141</v>
      </c>
      <c r="F25" s="89"/>
      <c r="G25" s="92">
        <f>(H25/100)*C25</f>
        <v>-88.964513785689405</v>
      </c>
      <c r="H25" s="94">
        <v>-1.7900304584645754</v>
      </c>
    </row>
    <row r="26" spans="1:8" ht="29.1">
      <c r="A26" s="55" t="s">
        <v>457</v>
      </c>
      <c r="B26" s="86">
        <v>9027</v>
      </c>
      <c r="C26" s="86">
        <v>8867</v>
      </c>
      <c r="D26" s="87">
        <f t="shared" si="1"/>
        <v>-160</v>
      </c>
      <c r="E26" s="88">
        <v>-1.7724603965880139</v>
      </c>
      <c r="F26" s="89"/>
      <c r="G26" s="92">
        <f>(H26/100)*C26</f>
        <v>145.65459964424269</v>
      </c>
      <c r="H26" s="94">
        <v>1.6426592945104623</v>
      </c>
    </row>
    <row r="27" spans="1:8" ht="29.1">
      <c r="A27" s="55" t="s">
        <v>459</v>
      </c>
      <c r="B27" s="86">
        <v>3847</v>
      </c>
      <c r="C27" s="86">
        <v>4446</v>
      </c>
      <c r="D27" s="87">
        <f t="shared" si="1"/>
        <v>599</v>
      </c>
      <c r="E27" s="88">
        <v>15.570574473615807</v>
      </c>
      <c r="F27" s="89"/>
      <c r="G27" s="92">
        <f>(H27/100)*C27</f>
        <v>280.10917850477375</v>
      </c>
      <c r="H27" s="94">
        <v>6.300251428357484</v>
      </c>
    </row>
    <row r="28" spans="1:8" ht="29.1">
      <c r="A28" s="55" t="s">
        <v>461</v>
      </c>
      <c r="B28" s="86">
        <v>86547</v>
      </c>
      <c r="C28" s="86">
        <v>84452</v>
      </c>
      <c r="D28" s="87">
        <f t="shared" si="1"/>
        <v>-2095</v>
      </c>
      <c r="E28" s="88">
        <v>-2.420650051417149</v>
      </c>
      <c r="F28" s="89"/>
      <c r="G28" s="92">
        <f>(H28/100)*C28</f>
        <v>1609.2187351981122</v>
      </c>
      <c r="H28" s="94">
        <v>1.9054832747573913</v>
      </c>
    </row>
    <row r="29" spans="1:8">
      <c r="A29" s="55" t="s">
        <v>463</v>
      </c>
      <c r="B29" s="86">
        <v>8632</v>
      </c>
      <c r="C29" s="86">
        <v>10458</v>
      </c>
      <c r="D29" s="87">
        <f t="shared" si="1"/>
        <v>1826</v>
      </c>
      <c r="E29" s="88">
        <v>21.153846153846153</v>
      </c>
      <c r="F29" s="89"/>
      <c r="G29" s="92">
        <f>(H29/100)*C29</f>
        <v>1112.3518240563897</v>
      </c>
      <c r="H29" s="94">
        <v>10.636372385316406</v>
      </c>
    </row>
    <row r="30" spans="1:8" ht="29.1">
      <c r="A30" s="55" t="s">
        <v>465</v>
      </c>
      <c r="B30" s="86">
        <v>21519</v>
      </c>
      <c r="C30" s="86">
        <v>25297</v>
      </c>
      <c r="D30" s="87">
        <f t="shared" si="1"/>
        <v>3778</v>
      </c>
      <c r="E30" s="88">
        <v>17.556577907895349</v>
      </c>
      <c r="F30" s="89"/>
      <c r="G30" s="92">
        <f>(H30/100)*C30</f>
        <v>1107.336470578176</v>
      </c>
      <c r="H30" s="94">
        <v>4.3773430469153496</v>
      </c>
    </row>
    <row r="31" spans="1:8">
      <c r="A31" s="55" t="s">
        <v>467</v>
      </c>
      <c r="B31" s="86">
        <v>39490</v>
      </c>
      <c r="C31" s="86">
        <v>48138</v>
      </c>
      <c r="D31" s="87">
        <f t="shared" si="1"/>
        <v>8648</v>
      </c>
      <c r="E31" s="88">
        <v>21.899214991136997</v>
      </c>
      <c r="F31" s="89"/>
      <c r="G31" s="92">
        <f>(H31/100)*C31</f>
        <v>-1482.1502077633279</v>
      </c>
      <c r="H31" s="94">
        <v>-3.0789609201947066</v>
      </c>
    </row>
    <row r="32" spans="1:8" ht="29.1">
      <c r="A32" s="55" t="s">
        <v>468</v>
      </c>
      <c r="B32" s="86">
        <v>9041</v>
      </c>
      <c r="C32" s="86">
        <v>7921</v>
      </c>
      <c r="D32" s="87">
        <f t="shared" si="1"/>
        <v>-1120</v>
      </c>
      <c r="E32" s="88">
        <v>-12.388010175865501</v>
      </c>
      <c r="F32" s="89"/>
      <c r="G32" s="92">
        <f>(H32/100)*C32</f>
        <v>-243.88449448862272</v>
      </c>
      <c r="H32" s="94">
        <v>-3.0789609201947066</v>
      </c>
    </row>
    <row r="33" spans="1:8" ht="15" thickBot="1">
      <c r="A33" s="55" t="s">
        <v>469</v>
      </c>
      <c r="B33" s="86">
        <v>134464</v>
      </c>
      <c r="C33" s="86">
        <v>117023</v>
      </c>
      <c r="D33" s="87">
        <f t="shared" si="1"/>
        <v>-17441</v>
      </c>
      <c r="E33" s="88">
        <v>-12.970757972394098</v>
      </c>
      <c r="F33" s="89"/>
      <c r="G33" s="92">
        <f>(H33/100)*C33</f>
        <v>-3603.0924376394514</v>
      </c>
      <c r="H33" s="94">
        <v>-3.0789609201947066</v>
      </c>
    </row>
    <row r="34" spans="1:8" ht="15" thickBot="1">
      <c r="A34" s="130" t="s">
        <v>499</v>
      </c>
      <c r="B34" s="131"/>
      <c r="C34" s="131"/>
      <c r="D34" s="131"/>
      <c r="E34" s="131"/>
      <c r="F34" s="131"/>
      <c r="G34" s="131"/>
      <c r="H34" s="132"/>
    </row>
    <row r="35" spans="1:8" ht="72.599999999999994">
      <c r="A35" s="64" t="s">
        <v>429</v>
      </c>
      <c r="B35" s="65" t="s">
        <v>489</v>
      </c>
      <c r="C35" s="65" t="s">
        <v>490</v>
      </c>
      <c r="D35" s="66" t="s">
        <v>491</v>
      </c>
      <c r="E35" s="66" t="s">
        <v>492</v>
      </c>
      <c r="F35" s="65"/>
      <c r="G35" s="69" t="s">
        <v>495</v>
      </c>
      <c r="H35" s="70" t="s">
        <v>496</v>
      </c>
    </row>
    <row r="36" spans="1:8" ht="29.1">
      <c r="A36" s="55" t="s">
        <v>471</v>
      </c>
      <c r="B36" s="86">
        <v>22017</v>
      </c>
      <c r="C36" s="86">
        <v>25978</v>
      </c>
      <c r="D36" s="87">
        <f t="shared" si="1"/>
        <v>3961</v>
      </c>
      <c r="E36" s="88">
        <v>17.990643593586775</v>
      </c>
      <c r="F36" s="89"/>
      <c r="G36" s="92">
        <f>(H36/100)*C36</f>
        <v>-254.44335838911422</v>
      </c>
      <c r="H36" s="94">
        <v>-0.9794570728659413</v>
      </c>
    </row>
    <row r="37" spans="1:8" ht="29.1">
      <c r="A37" s="55" t="s">
        <v>472</v>
      </c>
      <c r="B37" s="86">
        <v>7191</v>
      </c>
      <c r="C37" s="86">
        <v>6359</v>
      </c>
      <c r="D37" s="87">
        <f t="shared" si="1"/>
        <v>-832</v>
      </c>
      <c r="E37" s="88">
        <v>-11.570018078153248</v>
      </c>
      <c r="F37" s="89"/>
      <c r="G37" s="92">
        <f>(H37/100)*C37</f>
        <v>-62.283675263545206</v>
      </c>
      <c r="H37" s="94">
        <v>-0.9794570728659413</v>
      </c>
    </row>
    <row r="38" spans="1:8" ht="29.1">
      <c r="A38" s="55" t="s">
        <v>473</v>
      </c>
      <c r="B38" s="86">
        <v>25165</v>
      </c>
      <c r="C38" s="86">
        <v>24407</v>
      </c>
      <c r="D38" s="87">
        <f t="shared" si="1"/>
        <v>-758</v>
      </c>
      <c r="E38" s="88">
        <v>-3.0121200079475461</v>
      </c>
      <c r="F38" s="89"/>
      <c r="G38" s="92">
        <f>(H38/100)*C38</f>
        <v>-239.05608777439031</v>
      </c>
      <c r="H38" s="94">
        <v>-0.9794570728659413</v>
      </c>
    </row>
    <row r="39" spans="1:8" ht="29.1">
      <c r="A39" s="55" t="s">
        <v>474</v>
      </c>
      <c r="B39" s="86">
        <v>7792</v>
      </c>
      <c r="C39" s="86">
        <v>8732</v>
      </c>
      <c r="D39" s="87">
        <f t="shared" si="1"/>
        <v>940</v>
      </c>
      <c r="E39" s="88">
        <v>12.06365503080082</v>
      </c>
      <c r="F39" s="89"/>
      <c r="G39" s="92">
        <f>(H39/100)*C39</f>
        <v>-85.526191602653995</v>
      </c>
      <c r="H39" s="94">
        <v>-0.9794570728659413</v>
      </c>
    </row>
    <row r="40" spans="1:8" ht="29.1">
      <c r="A40" s="55" t="s">
        <v>476</v>
      </c>
      <c r="B40" s="86">
        <v>3442</v>
      </c>
      <c r="C40" s="86">
        <v>3846</v>
      </c>
      <c r="D40" s="87">
        <f t="shared" si="1"/>
        <v>404</v>
      </c>
      <c r="E40" s="88">
        <v>11.737361998837885</v>
      </c>
      <c r="F40" s="89"/>
      <c r="G40" s="92">
        <f>(H40/100)*C40</f>
        <v>-34.062590070250543</v>
      </c>
      <c r="H40" s="94">
        <v>-0.88566276833724755</v>
      </c>
    </row>
    <row r="41" spans="1:8" ht="29.1">
      <c r="A41" s="55" t="s">
        <v>478</v>
      </c>
      <c r="B41" s="86">
        <v>17572</v>
      </c>
      <c r="C41" s="86">
        <v>18192</v>
      </c>
      <c r="D41" s="87">
        <f t="shared" si="1"/>
        <v>620</v>
      </c>
      <c r="E41" s="88">
        <v>3.5283405417709996</v>
      </c>
      <c r="F41" s="89"/>
      <c r="G41" s="92">
        <f>(H41/100)*C41</f>
        <v>-41.746080539471492</v>
      </c>
      <c r="H41" s="94">
        <v>-0.22947493700237187</v>
      </c>
    </row>
    <row r="42" spans="1:8">
      <c r="A42" s="55" t="s">
        <v>480</v>
      </c>
      <c r="B42" s="86">
        <v>27341.077804565401</v>
      </c>
      <c r="C42" s="86">
        <v>27826</v>
      </c>
      <c r="D42" s="87">
        <f t="shared" si="1"/>
        <v>484.92219543459942</v>
      </c>
      <c r="E42" s="88">
        <v>1.7736030704452601</v>
      </c>
      <c r="F42" s="89"/>
      <c r="G42" s="92">
        <f>(H42/100)*C42</f>
        <v>-1055.7807058411433</v>
      </c>
      <c r="H42" s="94">
        <v>-3.7942237685658853</v>
      </c>
    </row>
    <row r="43" spans="1:8">
      <c r="A43" s="55" t="s">
        <v>481</v>
      </c>
      <c r="B43" s="86">
        <v>39716</v>
      </c>
      <c r="C43" s="86">
        <v>38262</v>
      </c>
      <c r="D43" s="87">
        <f t="shared" si="1"/>
        <v>-1454</v>
      </c>
      <c r="E43" s="88">
        <v>-3.6609930506596839</v>
      </c>
      <c r="F43" s="89"/>
      <c r="G43" s="92">
        <f>(H43/100)*C43</f>
        <v>-87.801700395847519</v>
      </c>
      <c r="H43" s="94">
        <v>-0.22947493700237187</v>
      </c>
    </row>
    <row r="44" spans="1:8">
      <c r="A44" s="55" t="s">
        <v>483</v>
      </c>
      <c r="B44" s="86">
        <v>28824</v>
      </c>
      <c r="C44" s="86">
        <v>31338</v>
      </c>
      <c r="D44" s="87">
        <f t="shared" si="1"/>
        <v>2514</v>
      </c>
      <c r="E44" s="88">
        <v>8.7218984179850114</v>
      </c>
      <c r="F44" s="89"/>
      <c r="G44" s="92">
        <f>(H44/100)*C44</f>
        <v>-262.23941396008144</v>
      </c>
      <c r="H44" s="94">
        <v>-0.83680966864535522</v>
      </c>
    </row>
    <row r="45" spans="1:8">
      <c r="A45" s="55" t="s">
        <v>485</v>
      </c>
      <c r="B45" s="86">
        <v>36045</v>
      </c>
      <c r="C45" s="86">
        <v>35249</v>
      </c>
      <c r="D45" s="87">
        <f t="shared" si="1"/>
        <v>-796</v>
      </c>
      <c r="E45" s="88">
        <v>-2.2083506727701483</v>
      </c>
      <c r="F45" s="89"/>
      <c r="G45" s="92">
        <f>(H45/100)*C45</f>
        <v>440.9258761475221</v>
      </c>
      <c r="H45" s="94">
        <v>1.2508890355684477</v>
      </c>
    </row>
    <row r="46" spans="1:8" ht="15" thickBot="1">
      <c r="A46" s="56" t="s">
        <v>486</v>
      </c>
      <c r="B46" s="97">
        <v>11457</v>
      </c>
      <c r="C46" s="97">
        <v>11640</v>
      </c>
      <c r="D46" s="98">
        <f t="shared" si="1"/>
        <v>183</v>
      </c>
      <c r="E46" s="99">
        <v>1.5972767740246137</v>
      </c>
      <c r="F46" s="100"/>
      <c r="G46" s="103">
        <f>(H46/100)*C46</f>
        <v>145.60348374016732</v>
      </c>
      <c r="H46" s="104">
        <v>1.2508890355684477</v>
      </c>
    </row>
    <row r="47" spans="1:8" ht="15" thickBot="1"/>
    <row r="48" spans="1:8" ht="15" thickBot="1">
      <c r="A48" s="130" t="s">
        <v>500</v>
      </c>
      <c r="B48" s="131"/>
      <c r="C48" s="131"/>
      <c r="D48" s="131"/>
      <c r="E48" s="131"/>
      <c r="F48" s="131"/>
      <c r="G48" s="131"/>
      <c r="H48" s="132"/>
    </row>
    <row r="49" spans="1:8" ht="72.95" thickBot="1">
      <c r="A49" s="78" t="s">
        <v>429</v>
      </c>
      <c r="B49" s="79" t="s">
        <v>489</v>
      </c>
      <c r="C49" s="79" t="s">
        <v>490</v>
      </c>
      <c r="D49" s="80" t="s">
        <v>491</v>
      </c>
      <c r="E49" s="80" t="s">
        <v>492</v>
      </c>
      <c r="F49" s="79"/>
      <c r="G49" s="83" t="s">
        <v>495</v>
      </c>
      <c r="H49" s="84" t="s">
        <v>496</v>
      </c>
    </row>
    <row r="50" spans="1:8">
      <c r="A50" s="117" t="s">
        <v>314</v>
      </c>
      <c r="B50" s="105">
        <f>SUM(B3:B12,B15:B22,B25:B27)</f>
        <v>229519</v>
      </c>
      <c r="C50" s="105">
        <f>SUM(C3:C12,C15:C22,C25:C27)</f>
        <v>205217</v>
      </c>
      <c r="D50" s="105">
        <f>SUM(D3:D12,D15:D22,D25:D27)</f>
        <v>-24302</v>
      </c>
      <c r="E50" s="106">
        <f>D50/B50*100</f>
        <v>-10.588230168308506</v>
      </c>
      <c r="F50" s="107"/>
      <c r="G50" s="105">
        <f>SUM(G3:G12,G15:G22,G25:G27)</f>
        <v>-3387.6330720578326</v>
      </c>
      <c r="H50" s="108">
        <f>G50/C50*100</f>
        <v>-1.6507565513860123</v>
      </c>
    </row>
    <row r="51" spans="1:8">
      <c r="A51" s="118" t="s">
        <v>501</v>
      </c>
      <c r="B51" s="109">
        <f>SUM(B28:B33)</f>
        <v>299693</v>
      </c>
      <c r="C51" s="109">
        <f>SUM(C28:C33)</f>
        <v>293289</v>
      </c>
      <c r="D51" s="109">
        <f>SUM(D28:D33)</f>
        <v>-6404</v>
      </c>
      <c r="E51" s="110">
        <f>D51/B51*100</f>
        <v>-2.1368533799588243</v>
      </c>
      <c r="F51" s="89"/>
      <c r="G51" s="109">
        <f>SUM(G28:G33)</f>
        <v>-1500.220110058724</v>
      </c>
      <c r="H51" s="111">
        <f>G51/C51*100</f>
        <v>-0.51151598254920028</v>
      </c>
    </row>
    <row r="52" spans="1:8">
      <c r="A52" s="118" t="s">
        <v>348</v>
      </c>
      <c r="B52" s="109">
        <f>SUM(B36:B46)</f>
        <v>226562.0778045654</v>
      </c>
      <c r="C52" s="109">
        <f>SUM(C36:C46)</f>
        <v>231829</v>
      </c>
      <c r="D52" s="109">
        <f>SUM(D36:D46)</f>
        <v>5266.9221954345994</v>
      </c>
      <c r="E52" s="110">
        <f>D52/B52*100</f>
        <v>2.3247148183280242</v>
      </c>
      <c r="F52" s="89"/>
      <c r="G52" s="109">
        <f>SUM(G36:G46)</f>
        <v>-1536.4104439488085</v>
      </c>
      <c r="H52" s="111">
        <f>G52/C52*100</f>
        <v>-0.66273436194298752</v>
      </c>
    </row>
    <row r="53" spans="1:8">
      <c r="A53" s="119"/>
      <c r="B53" s="89"/>
      <c r="C53" s="89"/>
      <c r="D53" s="89"/>
      <c r="E53" s="112"/>
      <c r="F53" s="89"/>
      <c r="G53" s="89"/>
      <c r="H53" s="113"/>
    </row>
    <row r="54" spans="1:8">
      <c r="A54" s="118" t="s">
        <v>502</v>
      </c>
      <c r="B54" s="109">
        <f>SUM(B50:B51)</f>
        <v>529212</v>
      </c>
      <c r="C54" s="109">
        <f>SUM(C50:C51)</f>
        <v>498506</v>
      </c>
      <c r="D54" s="109">
        <f>SUM(D50:D51)</f>
        <v>-30706</v>
      </c>
      <c r="E54" s="110">
        <f>D54/B54*100</f>
        <v>-5.8022115900622051</v>
      </c>
      <c r="F54" s="89"/>
      <c r="G54" s="109">
        <f>SUM(G50:G51)</f>
        <v>-4887.8531821165561</v>
      </c>
      <c r="H54" s="111">
        <f>G54/C54*100</f>
        <v>-0.98050037153345326</v>
      </c>
    </row>
    <row r="55" spans="1:8" ht="15" thickBot="1">
      <c r="A55" s="120" t="s">
        <v>487</v>
      </c>
      <c r="B55" s="114">
        <f>SUM(B50:B52)</f>
        <v>755774.07780456543</v>
      </c>
      <c r="C55" s="114">
        <f>SUM(C50:C52)</f>
        <v>730335</v>
      </c>
      <c r="D55" s="114">
        <f>SUM(D50:D52)</f>
        <v>-25439.077804565401</v>
      </c>
      <c r="E55" s="115">
        <f>D55/B55*100</f>
        <v>-3.3659632622572766</v>
      </c>
      <c r="F55" s="100"/>
      <c r="G55" s="114">
        <f>SUM(G50:G52)</f>
        <v>-6424.2636260653644</v>
      </c>
      <c r="H55" s="116">
        <f>G55/C55*100</f>
        <v>-0.87963244621514292</v>
      </c>
    </row>
    <row r="56" spans="1:8" ht="15" thickBot="1"/>
    <row r="57" spans="1:8" ht="15" thickBot="1">
      <c r="A57" s="130" t="s">
        <v>503</v>
      </c>
      <c r="B57" s="131"/>
      <c r="C57" s="131"/>
      <c r="D57" s="131"/>
      <c r="E57" s="131"/>
      <c r="F57" s="131"/>
      <c r="G57" s="131"/>
      <c r="H57" s="132"/>
    </row>
    <row r="58" spans="1:8" ht="72.95" thickBot="1">
      <c r="A58" s="71" t="s">
        <v>429</v>
      </c>
      <c r="B58" s="72" t="s">
        <v>489</v>
      </c>
      <c r="C58" s="72" t="s">
        <v>490</v>
      </c>
      <c r="D58" s="73" t="s">
        <v>491</v>
      </c>
      <c r="E58" s="73" t="s">
        <v>492</v>
      </c>
      <c r="F58" s="72"/>
      <c r="G58" s="76" t="s">
        <v>495</v>
      </c>
      <c r="H58" s="77" t="s">
        <v>496</v>
      </c>
    </row>
    <row r="59" spans="1:8">
      <c r="A59" s="121" t="s">
        <v>504</v>
      </c>
      <c r="B59" s="122">
        <f>SUM(B3:B12)</f>
        <v>83724</v>
      </c>
      <c r="C59" s="122">
        <f>SUM(C3:C12)</f>
        <v>72604</v>
      </c>
      <c r="D59" s="122">
        <f>SUM(D3:D12)</f>
        <v>-11120</v>
      </c>
      <c r="E59" s="123">
        <f>D59/B59*100</f>
        <v>-13.281735225263963</v>
      </c>
      <c r="F59" s="124"/>
      <c r="G59" s="122">
        <f>SUM(G3:G12)</f>
        <v>-1434.0330152185938</v>
      </c>
      <c r="H59" s="125">
        <f>G59/C59*100</f>
        <v>-1.9751432637576356</v>
      </c>
    </row>
    <row r="60" spans="1:8">
      <c r="A60" s="118" t="s">
        <v>505</v>
      </c>
      <c r="B60" s="109">
        <f>SUM(B15:B16)</f>
        <v>55424</v>
      </c>
      <c r="C60" s="109">
        <f>SUM(C15:C16)</f>
        <v>47550</v>
      </c>
      <c r="D60" s="109">
        <f>SUM(D15:D16)</f>
        <v>-7874</v>
      </c>
      <c r="E60" s="110">
        <f>D60/B60*100</f>
        <v>-14.20684180138568</v>
      </c>
      <c r="F60" s="89"/>
      <c r="G60" s="109">
        <f>SUM(G15:G16)</f>
        <v>-851.15948299990555</v>
      </c>
      <c r="H60" s="111">
        <f>G60/C60*100</f>
        <v>-1.7900304584645754</v>
      </c>
    </row>
    <row r="61" spans="1:8">
      <c r="A61" s="118" t="s">
        <v>506</v>
      </c>
      <c r="B61" s="109">
        <f>SUM(B17:B18)</f>
        <v>19277</v>
      </c>
      <c r="C61" s="109">
        <f>SUM(C17:C18)</f>
        <v>16337</v>
      </c>
      <c r="D61" s="109">
        <f>SUM(D17:D18)</f>
        <v>-2940</v>
      </c>
      <c r="E61" s="110">
        <f>D61/B61*100</f>
        <v>-15.251335788763813</v>
      </c>
      <c r="F61" s="89"/>
      <c r="G61" s="109">
        <f>SUM(G17:G18)</f>
        <v>-639.22686884949155</v>
      </c>
      <c r="H61" s="111">
        <f>G61/C61*100</f>
        <v>-3.9127555172277133</v>
      </c>
    </row>
    <row r="62" spans="1:8">
      <c r="A62" s="118" t="s">
        <v>507</v>
      </c>
      <c r="B62" s="109">
        <f>SUM(B19:B22)</f>
        <v>53718</v>
      </c>
      <c r="C62" s="109">
        <f>SUM(C19:C22)</f>
        <v>50443</v>
      </c>
      <c r="D62" s="109">
        <f>SUM(D19:D22)</f>
        <v>-3275</v>
      </c>
      <c r="E62" s="110">
        <f>D62/B62*100</f>
        <v>-6.0966528910234929</v>
      </c>
      <c r="F62" s="89"/>
      <c r="G62" s="109">
        <f>SUM(G19:G22)</f>
        <v>-800.01296935316964</v>
      </c>
      <c r="H62" s="111">
        <f>G62/C62*100</f>
        <v>-1.5859742072302789</v>
      </c>
    </row>
    <row r="63" spans="1:8">
      <c r="A63" s="118" t="s">
        <v>508</v>
      </c>
      <c r="B63" s="109">
        <f>SUM(B25:B27)</f>
        <v>17376</v>
      </c>
      <c r="C63" s="109">
        <f>SUM(C25:C27)</f>
        <v>18283</v>
      </c>
      <c r="D63" s="109">
        <f>SUM(D25:D27)</f>
        <v>907</v>
      </c>
      <c r="E63" s="110">
        <f>D63/B63*100</f>
        <v>5.2198434622467778</v>
      </c>
      <c r="F63" s="89"/>
      <c r="G63" s="109">
        <f>SUM(G25:G27)</f>
        <v>336.79926436332704</v>
      </c>
      <c r="H63" s="111">
        <f>G63/C63*100</f>
        <v>1.8421444202993329</v>
      </c>
    </row>
    <row r="64" spans="1:8">
      <c r="A64" s="118" t="s">
        <v>509</v>
      </c>
      <c r="B64" s="109">
        <f>SUM(B28:B30)</f>
        <v>116698</v>
      </c>
      <c r="C64" s="109">
        <f>SUM(C28:C30)</f>
        <v>120207</v>
      </c>
      <c r="D64" s="109">
        <f>SUM(D28:D30)</f>
        <v>3509</v>
      </c>
      <c r="E64" s="110">
        <f>D64/B64*100</f>
        <v>3.006906716481859</v>
      </c>
      <c r="F64" s="89"/>
      <c r="G64" s="109">
        <f>SUM(G28:G30)</f>
        <v>3828.9070298326778</v>
      </c>
      <c r="H64" s="111">
        <f>G64/C64*100</f>
        <v>3.1852612824816178</v>
      </c>
    </row>
    <row r="65" spans="1:8">
      <c r="A65" s="118" t="s">
        <v>510</v>
      </c>
      <c r="B65" s="109">
        <f>SUM(B31:B33)</f>
        <v>182995</v>
      </c>
      <c r="C65" s="109">
        <f>SUM(C31:C33)</f>
        <v>173082</v>
      </c>
      <c r="D65" s="109">
        <f>SUM(D31:D33)</f>
        <v>-9913</v>
      </c>
      <c r="E65" s="110">
        <f>D65/B65*100</f>
        <v>-5.4170878985764634</v>
      </c>
      <c r="F65" s="89"/>
      <c r="G65" s="109">
        <f>SUM(G31:G33)</f>
        <v>-5329.1271398914023</v>
      </c>
      <c r="H65" s="111">
        <f>G65/C65*100</f>
        <v>-3.0789609201947066</v>
      </c>
    </row>
    <row r="66" spans="1:8" ht="29.1">
      <c r="A66" s="118" t="s">
        <v>511</v>
      </c>
      <c r="B66" s="109">
        <f>SUM(B36:B42)</f>
        <v>110520.0778045654</v>
      </c>
      <c r="C66" s="109">
        <f>SUM(C36:C42)</f>
        <v>115340</v>
      </c>
      <c r="D66" s="109">
        <f>SUM(D36:D42)</f>
        <v>4819.9221954345994</v>
      </c>
      <c r="E66" s="110">
        <f>D66/B66*100</f>
        <v>4.3611281236679487</v>
      </c>
      <c r="F66" s="89"/>
      <c r="G66" s="109">
        <f>SUM(G36:G42)</f>
        <v>-1772.8986894805689</v>
      </c>
      <c r="H66" s="111">
        <f>G66/C66*100</f>
        <v>-1.5371065454140531</v>
      </c>
    </row>
    <row r="67" spans="1:8">
      <c r="A67" s="118" t="s">
        <v>512</v>
      </c>
      <c r="B67" s="109">
        <f>SUM(B43:B44)</f>
        <v>68540</v>
      </c>
      <c r="C67" s="109">
        <f>SUM(C43:C44)</f>
        <v>69600</v>
      </c>
      <c r="D67" s="109">
        <f>SUM(D43:D44)</f>
        <v>1060</v>
      </c>
      <c r="E67" s="110">
        <f>D67/B67*100</f>
        <v>1.5465421651590312</v>
      </c>
      <c r="F67" s="89"/>
      <c r="G67" s="109">
        <f>SUM(G43:G44)</f>
        <v>-350.04111435592893</v>
      </c>
      <c r="H67" s="111">
        <f>G67/C67*100</f>
        <v>-0.50293263556886336</v>
      </c>
    </row>
    <row r="68" spans="1:8" ht="15" thickBot="1">
      <c r="A68" s="120" t="s">
        <v>513</v>
      </c>
      <c r="B68" s="114">
        <f>SUM(B45:B46)</f>
        <v>47502</v>
      </c>
      <c r="C68" s="114">
        <f>SUM(C45:C46)</f>
        <v>46889</v>
      </c>
      <c r="D68" s="114">
        <f>SUM(D45:D46)</f>
        <v>-613</v>
      </c>
      <c r="E68" s="110">
        <f>D68/B68*100</f>
        <v>-1.2904719801271525</v>
      </c>
      <c r="F68" s="100"/>
      <c r="G68" s="114">
        <f>SUM(G45:G46)</f>
        <v>586.52935988768945</v>
      </c>
      <c r="H68" s="111">
        <f>G68/C68*100</f>
        <v>1.2508890355684477</v>
      </c>
    </row>
  </sheetData>
  <mergeCells count="6">
    <mergeCell ref="A57:H57"/>
    <mergeCell ref="A1:H1"/>
    <mergeCell ref="A13:H13"/>
    <mergeCell ref="A23:H23"/>
    <mergeCell ref="A34:H34"/>
    <mergeCell ref="A48:H48"/>
  </mergeCells>
  <pageMargins left="0.7" right="0.7" top="0.75" bottom="0.75" header="0.3" footer="0.3"/>
  <ignoredErrors>
    <ignoredError sqref="B50:C51 B60:C68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b316cf-c677-48ff-8034-b358636c19b3">
      <Terms xmlns="http://schemas.microsoft.com/office/infopath/2007/PartnerControls"/>
    </lcf76f155ced4ddcb4097134ff3c332f>
    <TaxCatchAll xmlns="d93e6fbb-7695-49c2-934c-4836be7ca1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A7F8DF2D9F5B4BB16C13D80D533272" ma:contentTypeVersion="14" ma:contentTypeDescription="Create a new document." ma:contentTypeScope="" ma:versionID="04210ecc289e3494f4cccf380806dbf1">
  <xsd:schema xmlns:xsd="http://www.w3.org/2001/XMLSchema" xmlns:xs="http://www.w3.org/2001/XMLSchema" xmlns:p="http://schemas.microsoft.com/office/2006/metadata/properties" xmlns:ns2="24b316cf-c677-48ff-8034-b358636c19b3" xmlns:ns3="d93e6fbb-7695-49c2-934c-4836be7ca1c9" targetNamespace="http://schemas.microsoft.com/office/2006/metadata/properties" ma:root="true" ma:fieldsID="d344a49897712d5c0b32ac13511f6311" ns2:_="" ns3:_="">
    <xsd:import namespace="24b316cf-c677-48ff-8034-b358636c19b3"/>
    <xsd:import namespace="d93e6fbb-7695-49c2-934c-4836be7ca1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316cf-c677-48ff-8034-b358636c19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4434b03-6174-4165-b1bd-5632f68db4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3e6fbb-7695-49c2-934c-4836be7ca1c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383e0f8-5d68-4814-89f0-427cec3aeb45}" ma:internalName="TaxCatchAll" ma:showField="CatchAllData" ma:web="d93e6fbb-7695-49c2-934c-4836be7ca1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20DAFA-B22C-4736-B71B-FDD9A0745E81}"/>
</file>

<file path=customXml/itemProps2.xml><?xml version="1.0" encoding="utf-8"?>
<ds:datastoreItem xmlns:ds="http://schemas.openxmlformats.org/officeDocument/2006/customXml" ds:itemID="{C301727D-29F0-47F6-B51F-C784ACE14B51}"/>
</file>

<file path=customXml/itemProps3.xml><?xml version="1.0" encoding="utf-8"?>
<ds:datastoreItem xmlns:ds="http://schemas.openxmlformats.org/officeDocument/2006/customXml" ds:itemID="{ABCA97F0-737C-4A9F-9017-F801730404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 Vasilauskas</dc:creator>
  <cp:keywords/>
  <dc:description/>
  <cp:lastModifiedBy/>
  <cp:revision/>
  <dcterms:created xsi:type="dcterms:W3CDTF">2025-10-07T14:39:37Z</dcterms:created>
  <dcterms:modified xsi:type="dcterms:W3CDTF">2025-10-29T19:43:04Z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0x01010058A7F8DF2D9F5B4BB16C13D80D533272</vt:lpwstr>
  </property>
</Properties>
</file>