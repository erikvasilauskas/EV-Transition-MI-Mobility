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silauskas\GitHub\EV-Transition\data\raw\"/>
    </mc:Choice>
  </mc:AlternateContent>
  <xr:revisionPtr revIDLastSave="0" documentId="13_ncr:1_{4856519B-156B-47FC-A818-577706B730F6}" xr6:coauthVersionLast="47" xr6:coauthVersionMax="47" xr10:uidLastSave="{00000000-0000-0000-0000-000000000000}"/>
  <bookViews>
    <workbookView xWindow="-120" yWindow="-120" windowWidth="29040" windowHeight="15720" xr2:uid="{FBB2BD7F-F965-4586-A85B-9303CE9A1ADF}"/>
  </bookViews>
  <sheets>
    <sheet name="BEA_detailed_IO" sheetId="1" r:id="rId1"/>
    <sheet name="MI_emp_tr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2" l="1"/>
  <c r="D68" i="2"/>
  <c r="E68" i="2" s="1"/>
  <c r="C68" i="2"/>
  <c r="H68" i="2" s="1"/>
  <c r="B68" i="2"/>
  <c r="J67" i="2"/>
  <c r="K67" i="2" s="1"/>
  <c r="G67" i="2"/>
  <c r="H67" i="2" s="1"/>
  <c r="C67" i="2"/>
  <c r="B67" i="2"/>
  <c r="G66" i="2"/>
  <c r="H66" i="2" s="1"/>
  <c r="D66" i="2"/>
  <c r="E66" i="2" s="1"/>
  <c r="C66" i="2"/>
  <c r="B66" i="2"/>
  <c r="G65" i="2"/>
  <c r="C65" i="2"/>
  <c r="H65" i="2" s="1"/>
  <c r="B65" i="2"/>
  <c r="J64" i="2"/>
  <c r="K64" i="2" s="1"/>
  <c r="G64" i="2"/>
  <c r="H64" i="2" s="1"/>
  <c r="C64" i="2"/>
  <c r="B64" i="2"/>
  <c r="J63" i="2"/>
  <c r="K63" i="2" s="1"/>
  <c r="G63" i="2"/>
  <c r="H63" i="2" s="1"/>
  <c r="D63" i="2"/>
  <c r="E63" i="2" s="1"/>
  <c r="C63" i="2"/>
  <c r="B63" i="2"/>
  <c r="G62" i="2"/>
  <c r="C62" i="2"/>
  <c r="H62" i="2" s="1"/>
  <c r="B62" i="2"/>
  <c r="J61" i="2"/>
  <c r="K61" i="2" s="1"/>
  <c r="G61" i="2"/>
  <c r="H61" i="2" s="1"/>
  <c r="D61" i="2"/>
  <c r="E61" i="2" s="1"/>
  <c r="C61" i="2"/>
  <c r="B61" i="2"/>
  <c r="J60" i="2"/>
  <c r="K60" i="2" s="1"/>
  <c r="G60" i="2"/>
  <c r="H60" i="2" s="1"/>
  <c r="D60" i="2"/>
  <c r="E60" i="2" s="1"/>
  <c r="C60" i="2"/>
  <c r="B60" i="2"/>
  <c r="G59" i="2"/>
  <c r="C59" i="2"/>
  <c r="H59" i="2" s="1"/>
  <c r="B59" i="2"/>
  <c r="G52" i="2"/>
  <c r="C52" i="2"/>
  <c r="H52" i="2" s="1"/>
  <c r="B52" i="2"/>
  <c r="G51" i="2"/>
  <c r="H51" i="2" s="1"/>
  <c r="C51" i="2"/>
  <c r="B51" i="2"/>
  <c r="G50" i="2"/>
  <c r="G54" i="2" s="1"/>
  <c r="D50" i="2"/>
  <c r="E50" i="2" s="1"/>
  <c r="C50" i="2"/>
  <c r="C54" i="2" s="1"/>
  <c r="B50" i="2"/>
  <c r="B55" i="2" s="1"/>
  <c r="J46" i="2"/>
  <c r="D46" i="2"/>
  <c r="J45" i="2"/>
  <c r="J68" i="2" s="1"/>
  <c r="K68" i="2" s="1"/>
  <c r="D45" i="2"/>
  <c r="J44" i="2"/>
  <c r="D44" i="2"/>
  <c r="J43" i="2"/>
  <c r="D43" i="2"/>
  <c r="D67" i="2" s="1"/>
  <c r="E67" i="2" s="1"/>
  <c r="J42" i="2"/>
  <c r="D42" i="2"/>
  <c r="J41" i="2"/>
  <c r="D41" i="2"/>
  <c r="J40" i="2"/>
  <c r="D40" i="2"/>
  <c r="J39" i="2"/>
  <c r="D39" i="2"/>
  <c r="J38" i="2"/>
  <c r="D38" i="2"/>
  <c r="J37" i="2"/>
  <c r="D37" i="2"/>
  <c r="J36" i="2"/>
  <c r="J52" i="2" s="1"/>
  <c r="K52" i="2" s="1"/>
  <c r="D36" i="2"/>
  <c r="D52" i="2" s="1"/>
  <c r="E52" i="2" s="1"/>
  <c r="J33" i="2"/>
  <c r="J51" i="2" s="1"/>
  <c r="K51" i="2" s="1"/>
  <c r="D33" i="2"/>
  <c r="D65" i="2" s="1"/>
  <c r="E65" i="2" s="1"/>
  <c r="J32" i="2"/>
  <c r="D32" i="2"/>
  <c r="J31" i="2"/>
  <c r="J65" i="2" s="1"/>
  <c r="K65" i="2" s="1"/>
  <c r="D31" i="2"/>
  <c r="J30" i="2"/>
  <c r="D30" i="2"/>
  <c r="J29" i="2"/>
  <c r="D29" i="2"/>
  <c r="J28" i="2"/>
  <c r="D28" i="2"/>
  <c r="D64" i="2" s="1"/>
  <c r="E64" i="2" s="1"/>
  <c r="J27" i="2"/>
  <c r="D27" i="2"/>
  <c r="J26" i="2"/>
  <c r="D26" i="2"/>
  <c r="J25" i="2"/>
  <c r="D25" i="2"/>
  <c r="J22" i="2"/>
  <c r="D22" i="2"/>
  <c r="J21" i="2"/>
  <c r="D21" i="2"/>
  <c r="J20" i="2"/>
  <c r="D20" i="2"/>
  <c r="J19" i="2"/>
  <c r="J62" i="2" s="1"/>
  <c r="K62" i="2" s="1"/>
  <c r="D19" i="2"/>
  <c r="D62" i="2" s="1"/>
  <c r="E62" i="2" s="1"/>
  <c r="J18" i="2"/>
  <c r="D18" i="2"/>
  <c r="J17" i="2"/>
  <c r="D17" i="2"/>
  <c r="J16" i="2"/>
  <c r="D16" i="2"/>
  <c r="J15" i="2"/>
  <c r="D15" i="2"/>
  <c r="J12" i="2"/>
  <c r="D12" i="2"/>
  <c r="J11" i="2"/>
  <c r="D11" i="2"/>
  <c r="J10" i="2"/>
  <c r="D10" i="2"/>
  <c r="J9" i="2"/>
  <c r="D9" i="2"/>
  <c r="J8" i="2"/>
  <c r="D8" i="2"/>
  <c r="J7" i="2"/>
  <c r="D7" i="2"/>
  <c r="J6" i="2"/>
  <c r="D6" i="2"/>
  <c r="J5" i="2"/>
  <c r="J50" i="2" s="1"/>
  <c r="D5" i="2"/>
  <c r="D59" i="2" s="1"/>
  <c r="E59" i="2" s="1"/>
  <c r="J4" i="2"/>
  <c r="D4" i="2"/>
  <c r="J3" i="2"/>
  <c r="J59" i="2" s="1"/>
  <c r="K59" i="2" s="1"/>
  <c r="D3" i="2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I12" i="1"/>
  <c r="F12" i="1"/>
  <c r="I11" i="1"/>
  <c r="F11" i="1"/>
  <c r="I10" i="1"/>
  <c r="F10" i="1"/>
  <c r="I9" i="1"/>
  <c r="F9" i="1"/>
  <c r="I8" i="1"/>
  <c r="F8" i="1"/>
  <c r="I7" i="1"/>
  <c r="F7" i="1"/>
  <c r="I6" i="1"/>
  <c r="F6" i="1"/>
  <c r="I5" i="1"/>
  <c r="F5" i="1"/>
  <c r="I4" i="1"/>
  <c r="F4" i="1"/>
  <c r="I3" i="1"/>
  <c r="F3" i="1"/>
  <c r="I2" i="1"/>
  <c r="F2" i="1"/>
  <c r="K50" i="2" l="1"/>
  <c r="J55" i="2"/>
  <c r="J54" i="2"/>
  <c r="K54" i="2" s="1"/>
  <c r="H54" i="2"/>
  <c r="B54" i="2"/>
  <c r="H50" i="2"/>
  <c r="J66" i="2"/>
  <c r="K66" i="2" s="1"/>
  <c r="C55" i="2"/>
  <c r="D51" i="2"/>
  <c r="E51" i="2" s="1"/>
  <c r="D55" i="2"/>
  <c r="E55" i="2" s="1"/>
  <c r="G55" i="2"/>
  <c r="H55" i="2" s="1"/>
  <c r="D54" i="2"/>
  <c r="E54" i="2" s="1"/>
  <c r="K55" i="2" l="1"/>
</calcChain>
</file>

<file path=xl/sharedStrings.xml><?xml version="1.0" encoding="utf-8"?>
<sst xmlns="http://schemas.openxmlformats.org/spreadsheetml/2006/main" count="197" uniqueCount="126">
  <si>
    <t>Sector</t>
  </si>
  <si>
    <t>NAICS</t>
  </si>
  <si>
    <t>NAICS Title</t>
  </si>
  <si>
    <t>QCEW MI Employment, 2024</t>
  </si>
  <si>
    <t>BEA Industry Share of Intermediate Inputs to Core Auto (Detailed Table 2017)</t>
  </si>
  <si>
    <t>BEA Employment Related to Share of Intermediate Inputs to Core Auto</t>
  </si>
  <si>
    <t>BEA Industry Share of Total Industry Output to Core Auto (Detailed Table 2017)</t>
  </si>
  <si>
    <t>BEA Employment Related to Share of Total Output to Core Auto</t>
  </si>
  <si>
    <t>1. Materials &amp; Processing - Coatings &amp; Surface Treatments</t>
  </si>
  <si>
    <t>"Paint, Coating, and Adhesive Manufacturing"</t>
  </si>
  <si>
    <t>"Coating, Engraving, Heat Treating, and Allied Activities"</t>
  </si>
  <si>
    <t>1. Materials &amp; Processing - Metals</t>
  </si>
  <si>
    <t>"Iron and Steel Mills and Ferroalloy Manufacturing"</t>
  </si>
  <si>
    <t>"Steel Product Manufacturing from Purchased Steel"</t>
  </si>
  <si>
    <t>"Alumina and Aluminum Production and Processing"</t>
  </si>
  <si>
    <t>"Nonferrous Metal (except Aluminum) Production and Processing"</t>
  </si>
  <si>
    <t>1. Materials &amp; Processing - Non-Metals</t>
  </si>
  <si>
    <t>"Resin, Synthetic Rubber, and Artificial and Synthetic Fibers and Filaments Manufacturing"</t>
  </si>
  <si>
    <t>"Plastics Product Manufacturing"</t>
  </si>
  <si>
    <t>"Rubber Product Manufacturing"</t>
  </si>
  <si>
    <t>"Glass and Glass Product Manufacturing"</t>
  </si>
  <si>
    <t>2. Equipment Manufacturing</t>
  </si>
  <si>
    <t>"Metalworking Machinery Manufacturing"</t>
  </si>
  <si>
    <t>"Other General Purpose Machinery Manufacturing"</t>
  </si>
  <si>
    <t>3. Forging &amp; Foundries</t>
  </si>
  <si>
    <t>"Foundries"</t>
  </si>
  <si>
    <t>"Forging and Stamping"</t>
  </si>
  <si>
    <t>4. Parts &amp; Machining</t>
  </si>
  <si>
    <t>"Spring and Wire Product Manufacturing"</t>
  </si>
  <si>
    <t>"Machine Shops; Turned Product; and Screw, Nut, and Bolt Manufacturing"</t>
  </si>
  <si>
    <t>"Other Fabricated Metal Product Manufacturing"</t>
  </si>
  <si>
    <t>"Semiconductor and Other Electronic Component Manufacturing"</t>
  </si>
  <si>
    <t>5. Component Systems</t>
  </si>
  <si>
    <t>"Engine, Turbine, and Power Transmission Equipment Manufacturing"</t>
  </si>
  <si>
    <t>"Navigational, Measuring, Electro medical, and Control Instruments Manufacturing"</t>
  </si>
  <si>
    <t>"Other Electrical Equipment and Component Manufacturing"</t>
  </si>
  <si>
    <t>6. Engineering &amp; Design</t>
  </si>
  <si>
    <t>"Architectural, Engineering, and Related Services"</t>
  </si>
  <si>
    <t>"Industrial design"</t>
  </si>
  <si>
    <t>"Scientific Research and Development "</t>
  </si>
  <si>
    <t>7. Core Automotive</t>
  </si>
  <si>
    <t>"Motor Vehicle Manufacturing"</t>
  </si>
  <si>
    <t>"Motor Vehicle Body and Trailer Manufacturing"</t>
  </si>
  <si>
    <t>"Motor Vehicle Parts Manufacturing"</t>
  </si>
  <si>
    <t>8. Motor Vehicle Parts, Materials, &amp; Products Sales</t>
  </si>
  <si>
    <t>"Motor Vehicle and Motor Vehicle Parts and Supplies Merchant Wholesalers"</t>
  </si>
  <si>
    <t>"Metal and Mineral (except Petroleum) Merchant Wholesalers"</t>
  </si>
  <si>
    <t>"Machinery, Equipment, and Supplies Merchant Wholesalers"</t>
  </si>
  <si>
    <t>"Miscellaneous Durable Goods Merchant Wholesalers"</t>
  </si>
  <si>
    <t>"Petroleum and Petroleum Products Merchant Wholesalers"</t>
  </si>
  <si>
    <t>"Automotive Parts, Accessories, and Tire Retailers"</t>
  </si>
  <si>
    <t>"Gasoline Stations"</t>
  </si>
  <si>
    <t>9. Dealers, Maintenance, &amp; Repair</t>
  </si>
  <si>
    <t>"Automobile Dealers"</t>
  </si>
  <si>
    <t>"Automotive Repair and Maintenance"</t>
  </si>
  <si>
    <t>10. Logistics</t>
  </si>
  <si>
    <t>"General Freight Trucking"</t>
  </si>
  <si>
    <t xml:space="preserve">"Specialized Freight Trucking </t>
  </si>
  <si>
    <t>Segment 1: Materials &amp; Processing</t>
  </si>
  <si>
    <t>NAICS-Title</t>
  </si>
  <si>
    <t>QCEW, MI Emp 2018</t>
  </si>
  <si>
    <t>QCEW, MI Emp 2024</t>
  </si>
  <si>
    <t>QCEW Emp Lvl Chg,  2018-24</t>
  </si>
  <si>
    <t>QCEW Emp Pct Chg, 2018-24</t>
  </si>
  <si>
    <t>Moody's Emp Lvl Chg, 2024-30</t>
  </si>
  <si>
    <t>Moody's Emp Pct Chg, 2024-30</t>
  </si>
  <si>
    <t>DTMB, Emp Lvl Chg, 2024-30</t>
  </si>
  <si>
    <t>DTMB, Emp Pct Chg, Six year rate, 2024-30</t>
  </si>
  <si>
    <t>3252- Resin, Synthetic Rubber, and Artificial and Synthetic Fibers and Filaments Manufacturing</t>
  </si>
  <si>
    <t>3255- Paint, Coating, and Adhesive Manufacturing</t>
  </si>
  <si>
    <t>3261- Plastics Product Manufacturing</t>
  </si>
  <si>
    <t>3262- Rubber Product Manufacturing</t>
  </si>
  <si>
    <t>3272- Glass and Glass Product Manufacturing</t>
  </si>
  <si>
    <t>3311- Iron and Steel Mills and Ferroalloy Manufacturing</t>
  </si>
  <si>
    <t>3312- Steel Product Manufacturing from Purchased Steel</t>
  </si>
  <si>
    <t>3313- Alumina and Aluminum Production and Processing</t>
  </si>
  <si>
    <t>3314- Nonferrous Metal (except Aluminum) Production and Processing</t>
  </si>
  <si>
    <t>3328- Coating, Engraving, Heat Treating, and Allied Activities</t>
  </si>
  <si>
    <t>Segments 2-4: Equipment Manufacturing, Forging &amp; Foundries, Parts &amp; Machining</t>
  </si>
  <si>
    <t>3335- Metalworking Machinery Manufacturing</t>
  </si>
  <si>
    <t>3339- Other General Purpose Machinery Manufacturing</t>
  </si>
  <si>
    <t>3315- Foundries</t>
  </si>
  <si>
    <t>3321- Forging and Stamping</t>
  </si>
  <si>
    <t>3326- Spring and Wire Product Manufacturing</t>
  </si>
  <si>
    <t>3327- Machine Shops; Turned Product; and Screw, Nut, and Bolt Manufacturing</t>
  </si>
  <si>
    <t>3329- Other Fabricated Metal Product Manufacturing</t>
  </si>
  <si>
    <t>3344- Semiconductor and Other Electronic Component Manufacturing</t>
  </si>
  <si>
    <t>Segments 5-7: Component systems, Engineering and Design, Core Auto</t>
  </si>
  <si>
    <t>3336- Engine, Turbine, and Power Transmission Equipment Manufacturing</t>
  </si>
  <si>
    <t>3345- Navigational, Measuring, Electromedical, and Control Instruments Manufacturing</t>
  </si>
  <si>
    <t>3359- Other Electrical Equipment and Component Manufacturing</t>
  </si>
  <si>
    <t>5413- Architectural, Engineering, and Related Services</t>
  </si>
  <si>
    <t>5414- Specialized Design Services</t>
  </si>
  <si>
    <t>5417- Scientific Research and Development Services</t>
  </si>
  <si>
    <t>3361- Motor Vehicle Manufacturing</t>
  </si>
  <si>
    <t>3362- Motor Vehicle Body and Trailer Manufacturing</t>
  </si>
  <si>
    <t>3363- Motor Vehicle Parts Manufacturing</t>
  </si>
  <si>
    <t>Segments 8-10: Downstream sales, services, and logistics</t>
  </si>
  <si>
    <t>4231- Motor Vehicle and Motor Vehicle Parts and Supplies Merchant Wholesalers</t>
  </si>
  <si>
    <t>4235- Metal and Mineral (except Petroleum) Merchant Wholesalers</t>
  </si>
  <si>
    <t>4238- Machinery, Equipment, and Supplies Merchant Wholesalers</t>
  </si>
  <si>
    <t>4239- Miscellaneous Durable Goods Merchant Wholesalers</t>
  </si>
  <si>
    <t>4247- Petroleum and Petroleum Products Merchant Wholesalers</t>
  </si>
  <si>
    <t>4413- Automotive Parts, Accessories, and Tire Stores</t>
  </si>
  <si>
    <t>4571- Gasoline Stations</t>
  </si>
  <si>
    <t>4411- Automobile Dealers</t>
  </si>
  <si>
    <t>8111- Automotive Repair and Maintenance</t>
  </si>
  <si>
    <t>4841- General Freight Trucking</t>
  </si>
  <si>
    <t>4842- Specialized Freight Trucking</t>
  </si>
  <si>
    <t>Stage Summary</t>
  </si>
  <si>
    <t>Upstream</t>
  </si>
  <si>
    <t>Core</t>
  </si>
  <si>
    <t>Downstream</t>
  </si>
  <si>
    <t>Upstream + Core</t>
  </si>
  <si>
    <t>Total</t>
  </si>
  <si>
    <t>Segment Summary</t>
  </si>
  <si>
    <t>1-Materials &amp; Processing</t>
  </si>
  <si>
    <t>2-Equipment Manufacturing</t>
  </si>
  <si>
    <t>3-Forging &amp; Foundries</t>
  </si>
  <si>
    <t>4-Parts &amp; Machining</t>
  </si>
  <si>
    <t>5-Component Systems</t>
  </si>
  <si>
    <t>6-Engineering &amp; Design</t>
  </si>
  <si>
    <t>7-Core Automotive</t>
  </si>
  <si>
    <t>8-Motor Vehicle Parts, Materials, &amp; Products Sales</t>
  </si>
  <si>
    <t>9-Dealers, Maintenance, &amp; Repair</t>
  </si>
  <si>
    <t>10-Logistics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</si>
</sst>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164" fontId="0" fillId="0" borderId="2" xfId="1" applyNumberFormat="1" applyFont="1" applyBorder="1"/>
    <xf numFmtId="165" fontId="0" fillId="0" borderId="2" xfId="2" applyNumberFormat="1" applyFont="1" applyBorder="1"/>
    <xf numFmtId="164" fontId="0" fillId="0" borderId="3" xfId="1" applyNumberFormat="1" applyFont="1" applyBorder="1"/>
    <xf numFmtId="0" fontId="0" fillId="0" borderId="4" xfId="0" applyBorder="1"/>
    <xf numFmtId="164" fontId="0" fillId="0" borderId="4" xfId="1" applyNumberFormat="1" applyFont="1" applyBorder="1"/>
    <xf numFmtId="164" fontId="0" fillId="0" borderId="5" xfId="1" applyNumberFormat="1" applyFont="1" applyBorder="1"/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164" fontId="0" fillId="0" borderId="2" xfId="1" applyNumberFormat="1" applyFont="1" applyBorder="1" applyAlignment="1">
      <alignment vertical="center"/>
    </xf>
    <xf numFmtId="164" fontId="0" fillId="3" borderId="2" xfId="1" applyNumberFormat="1" applyFont="1" applyFill="1" applyBorder="1" applyAlignment="1">
      <alignment vertical="center"/>
    </xf>
    <xf numFmtId="166" fontId="0" fillId="3" borderId="2" xfId="0" applyNumberFormat="1" applyFill="1" applyBorder="1" applyAlignment="1">
      <alignment vertical="center"/>
    </xf>
    <xf numFmtId="0" fontId="0" fillId="0" borderId="2" xfId="0" applyBorder="1" applyAlignment="1">
      <alignment vertical="center"/>
    </xf>
    <xf numFmtId="164" fontId="0" fillId="2" borderId="2" xfId="1" applyNumberFormat="1" applyFont="1" applyFill="1" applyBorder="1" applyAlignment="1">
      <alignment vertical="center"/>
    </xf>
    <xf numFmtId="166" fontId="0" fillId="2" borderId="2" xfId="0" applyNumberFormat="1" applyFill="1" applyBorder="1" applyAlignment="1">
      <alignment vertical="center"/>
    </xf>
    <xf numFmtId="164" fontId="0" fillId="4" borderId="2" xfId="0" applyNumberFormat="1" applyFill="1" applyBorder="1" applyAlignment="1">
      <alignment vertical="center"/>
    </xf>
    <xf numFmtId="166" fontId="4" fillId="4" borderId="3" xfId="0" applyNumberFormat="1" applyFont="1" applyFill="1" applyBorder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166" fontId="0" fillId="4" borderId="3" xfId="0" applyNumberFormat="1" applyFill="1" applyBorder="1" applyAlignment="1">
      <alignment vertical="center"/>
    </xf>
    <xf numFmtId="166" fontId="0" fillId="2" borderId="2" xfId="1" applyNumberFormat="1" applyFont="1" applyFill="1" applyBorder="1" applyAlignment="1">
      <alignment vertical="center"/>
    </xf>
    <xf numFmtId="166" fontId="0" fillId="0" borderId="2" xfId="0" applyNumberFormat="1" applyBorder="1" applyAlignment="1">
      <alignment vertical="center"/>
    </xf>
    <xf numFmtId="0" fontId="0" fillId="0" borderId="15" xfId="0" applyBorder="1" applyAlignment="1">
      <alignment wrapText="1"/>
    </xf>
    <xf numFmtId="164" fontId="0" fillId="0" borderId="4" xfId="1" applyNumberFormat="1" applyFont="1" applyBorder="1" applyAlignment="1">
      <alignment vertical="center"/>
    </xf>
    <xf numFmtId="164" fontId="0" fillId="3" borderId="4" xfId="1" applyNumberFormat="1" applyFont="1" applyFill="1" applyBorder="1" applyAlignment="1">
      <alignment vertical="center"/>
    </xf>
    <xf numFmtId="166" fontId="0" fillId="3" borderId="4" xfId="0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164" fontId="0" fillId="2" borderId="4" xfId="1" applyNumberFormat="1" applyFont="1" applyFill="1" applyBorder="1" applyAlignment="1">
      <alignment vertical="center"/>
    </xf>
    <xf numFmtId="166" fontId="0" fillId="2" borderId="4" xfId="0" applyNumberFormat="1" applyFill="1" applyBorder="1" applyAlignment="1">
      <alignment vertical="center"/>
    </xf>
    <xf numFmtId="164" fontId="0" fillId="4" borderId="4" xfId="0" applyNumberFormat="1" applyFill="1" applyBorder="1" applyAlignment="1">
      <alignment vertical="center"/>
    </xf>
    <xf numFmtId="166" fontId="0" fillId="4" borderId="5" xfId="0" applyNumberFormat="1" applyFill="1" applyBorder="1" applyAlignment="1">
      <alignment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wrapText="1"/>
    </xf>
    <xf numFmtId="164" fontId="0" fillId="0" borderId="10" xfId="0" applyNumberFormat="1" applyBorder="1" applyAlignment="1">
      <alignment vertical="center"/>
    </xf>
    <xf numFmtId="166" fontId="0" fillId="0" borderId="10" xfId="2" applyNumberFormat="1" applyFont="1" applyBorder="1" applyAlignment="1">
      <alignment vertical="center"/>
    </xf>
    <xf numFmtId="0" fontId="0" fillId="0" borderId="10" xfId="0" applyBorder="1" applyAlignment="1">
      <alignment vertical="center"/>
    </xf>
    <xf numFmtId="166" fontId="0" fillId="0" borderId="11" xfId="2" applyNumberFormat="1" applyFont="1" applyBorder="1" applyAlignment="1">
      <alignment vertical="center"/>
    </xf>
    <xf numFmtId="0" fontId="2" fillId="0" borderId="12" xfId="0" applyFont="1" applyBorder="1" applyAlignment="1">
      <alignment wrapText="1"/>
    </xf>
    <xf numFmtId="164" fontId="0" fillId="0" borderId="2" xfId="0" applyNumberFormat="1" applyBorder="1" applyAlignment="1">
      <alignment vertical="center"/>
    </xf>
    <xf numFmtId="166" fontId="0" fillId="0" borderId="2" xfId="2" applyNumberFormat="1" applyFont="1" applyBorder="1" applyAlignment="1">
      <alignment vertical="center"/>
    </xf>
    <xf numFmtId="166" fontId="0" fillId="0" borderId="3" xfId="2" applyNumberFormat="1" applyFont="1" applyBorder="1" applyAlignment="1">
      <alignment vertical="center"/>
    </xf>
    <xf numFmtId="0" fontId="2" fillId="0" borderId="12" xfId="0" applyFont="1" applyBorder="1"/>
    <xf numFmtId="165" fontId="0" fillId="0" borderId="2" xfId="2" applyNumberFormat="1" applyFont="1" applyBorder="1" applyAlignment="1">
      <alignment vertical="center"/>
    </xf>
    <xf numFmtId="165" fontId="0" fillId="0" borderId="3" xfId="2" applyNumberFormat="1" applyFont="1" applyBorder="1" applyAlignment="1">
      <alignment vertical="center"/>
    </xf>
    <xf numFmtId="0" fontId="2" fillId="0" borderId="15" xfId="0" applyFont="1" applyBorder="1" applyAlignment="1">
      <alignment wrapText="1"/>
    </xf>
    <xf numFmtId="164" fontId="0" fillId="0" borderId="4" xfId="0" applyNumberFormat="1" applyBorder="1" applyAlignment="1">
      <alignment vertical="center"/>
    </xf>
    <xf numFmtId="166" fontId="0" fillId="0" borderId="4" xfId="2" applyNumberFormat="1" applyFont="1" applyBorder="1" applyAlignment="1">
      <alignment vertical="center"/>
    </xf>
    <xf numFmtId="166" fontId="0" fillId="0" borderId="5" xfId="2" applyNumberFormat="1" applyFont="1" applyBorder="1" applyAlignment="1">
      <alignment vertical="center"/>
    </xf>
    <xf numFmtId="0" fontId="2" fillId="0" borderId="13" xfId="0" applyFont="1" applyBorder="1" applyAlignment="1">
      <alignment wrapText="1"/>
    </xf>
    <xf numFmtId="164" fontId="0" fillId="0" borderId="1" xfId="0" applyNumberFormat="1" applyBorder="1" applyAlignment="1">
      <alignment vertical="center"/>
    </xf>
    <xf numFmtId="166" fontId="0" fillId="0" borderId="1" xfId="2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166" fontId="0" fillId="0" borderId="14" xfId="2" applyNumberFormat="1" applyFont="1" applyBorder="1" applyAlignment="1">
      <alignment vertical="center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9039C-F6C6-4B86-ACEB-92779AD7FDCC}">
  <dimension ref="A1:I39"/>
  <sheetViews>
    <sheetView tabSelected="1" workbookViewId="0">
      <selection activeCell="L28" sqref="L28"/>
    </sheetView>
  </sheetViews>
  <sheetFormatPr defaultRowHeight="15" x14ac:dyDescent="0.25"/>
  <cols>
    <col min="1" max="1" width="44.5703125" customWidth="1"/>
    <col min="3" max="3" width="76.140625" customWidth="1"/>
    <col min="4" max="4" width="13.85546875" customWidth="1"/>
    <col min="5" max="5" width="16.42578125" customWidth="1"/>
    <col min="6" max="6" width="13.140625" customWidth="1"/>
    <col min="7" max="7" width="4.28515625" customWidth="1"/>
    <col min="8" max="8" width="14" customWidth="1"/>
    <col min="9" max="9" width="13.7109375" bestFit="1" customWidth="1"/>
  </cols>
  <sheetData>
    <row r="1" spans="1:9" ht="10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9" x14ac:dyDescent="0.25">
      <c r="A2" s="2" t="s">
        <v>8</v>
      </c>
      <c r="B2" s="2">
        <v>3255</v>
      </c>
      <c r="C2" s="2" t="s">
        <v>9</v>
      </c>
      <c r="D2" s="3">
        <v>4347</v>
      </c>
      <c r="E2" s="4">
        <v>2.65484453708346E-2</v>
      </c>
      <c r="F2" s="3">
        <f>D2*E2</f>
        <v>115.406092027018</v>
      </c>
      <c r="G2" s="2"/>
      <c r="H2" s="4">
        <v>2.3304357330603501E-2</v>
      </c>
      <c r="I2" s="5">
        <f>D2*H2</f>
        <v>101.30404131613342</v>
      </c>
    </row>
    <row r="3" spans="1:9" x14ac:dyDescent="0.25">
      <c r="A3" s="2" t="s">
        <v>8</v>
      </c>
      <c r="B3" s="2">
        <v>3328</v>
      </c>
      <c r="C3" s="2" t="s">
        <v>10</v>
      </c>
      <c r="D3" s="3">
        <v>11221</v>
      </c>
      <c r="E3" s="4">
        <v>0.17260746972523</v>
      </c>
      <c r="F3" s="3">
        <f t="shared" ref="F3:F39" si="0">D3*E3</f>
        <v>1936.8284177868059</v>
      </c>
      <c r="G3" s="2"/>
      <c r="H3" s="4">
        <v>0.1444808167138</v>
      </c>
      <c r="I3" s="5">
        <f t="shared" ref="I3:I39" si="1">D3*H3</f>
        <v>1621.2192443455499</v>
      </c>
    </row>
    <row r="4" spans="1:9" x14ac:dyDescent="0.25">
      <c r="A4" s="2" t="s">
        <v>11</v>
      </c>
      <c r="B4" s="2">
        <v>3311</v>
      </c>
      <c r="C4" s="2" t="s">
        <v>12</v>
      </c>
      <c r="D4" s="3">
        <v>3258</v>
      </c>
      <c r="E4" s="4">
        <v>4.7166879368953002E-2</v>
      </c>
      <c r="F4" s="3">
        <f t="shared" si="0"/>
        <v>153.66969298404888</v>
      </c>
      <c r="G4" s="2"/>
      <c r="H4" s="4">
        <v>4.4911736082774503E-2</v>
      </c>
      <c r="I4" s="5">
        <f t="shared" si="1"/>
        <v>146.32243615767933</v>
      </c>
    </row>
    <row r="5" spans="1:9" x14ac:dyDescent="0.25">
      <c r="A5" s="2" t="s">
        <v>11</v>
      </c>
      <c r="B5" s="2">
        <v>3312</v>
      </c>
      <c r="C5" s="2" t="s">
        <v>13</v>
      </c>
      <c r="D5" s="3">
        <v>1974</v>
      </c>
      <c r="E5" s="4">
        <v>0.16381566065123401</v>
      </c>
      <c r="F5" s="3">
        <f t="shared" si="0"/>
        <v>323.37211412553592</v>
      </c>
      <c r="G5" s="2"/>
      <c r="H5" s="4">
        <v>0.14894650030503001</v>
      </c>
      <c r="I5" s="5">
        <f t="shared" si="1"/>
        <v>294.02039160212922</v>
      </c>
    </row>
    <row r="6" spans="1:9" x14ac:dyDescent="0.25">
      <c r="A6" s="2" t="s">
        <v>11</v>
      </c>
      <c r="B6" s="2">
        <v>3313</v>
      </c>
      <c r="C6" s="2" t="s">
        <v>14</v>
      </c>
      <c r="D6" s="3">
        <v>2698</v>
      </c>
      <c r="E6" s="4">
        <v>0.118494363919499</v>
      </c>
      <c r="F6" s="3">
        <f t="shared" si="0"/>
        <v>319.69779385480831</v>
      </c>
      <c r="G6" s="2"/>
      <c r="H6" s="4">
        <v>0.11118269473308499</v>
      </c>
      <c r="I6" s="5">
        <f t="shared" si="1"/>
        <v>299.97091038986332</v>
      </c>
    </row>
    <row r="7" spans="1:9" x14ac:dyDescent="0.25">
      <c r="A7" s="2" t="s">
        <v>11</v>
      </c>
      <c r="B7" s="2">
        <v>3314</v>
      </c>
      <c r="C7" s="2" t="s">
        <v>15</v>
      </c>
      <c r="D7" s="3">
        <v>1262</v>
      </c>
      <c r="E7" s="4">
        <v>0.117106650259745</v>
      </c>
      <c r="F7" s="3">
        <f t="shared" si="0"/>
        <v>147.78859262779818</v>
      </c>
      <c r="G7" s="2"/>
      <c r="H7" s="4">
        <v>0.140949782732362</v>
      </c>
      <c r="I7" s="5">
        <f t="shared" si="1"/>
        <v>177.87862580824086</v>
      </c>
    </row>
    <row r="8" spans="1:9" x14ac:dyDescent="0.25">
      <c r="A8" s="2" t="s">
        <v>16</v>
      </c>
      <c r="B8" s="2">
        <v>3252</v>
      </c>
      <c r="C8" s="2" t="s">
        <v>17</v>
      </c>
      <c r="D8" s="3">
        <v>5524</v>
      </c>
      <c r="E8" s="4">
        <v>9.1007303864856504E-2</v>
      </c>
      <c r="F8" s="3">
        <f t="shared" si="0"/>
        <v>502.72434654946733</v>
      </c>
      <c r="G8" s="2"/>
      <c r="H8" s="4">
        <v>0.109959465075259</v>
      </c>
      <c r="I8" s="5">
        <f t="shared" si="1"/>
        <v>607.41608507573073</v>
      </c>
    </row>
    <row r="9" spans="1:9" x14ac:dyDescent="0.25">
      <c r="A9" s="2" t="s">
        <v>16</v>
      </c>
      <c r="B9" s="2">
        <v>3261</v>
      </c>
      <c r="C9" s="2" t="s">
        <v>18</v>
      </c>
      <c r="D9" s="3">
        <v>34371</v>
      </c>
      <c r="E9" s="4">
        <v>7.0914252202746803E-2</v>
      </c>
      <c r="F9" s="3">
        <f t="shared" si="0"/>
        <v>2437.3937624606106</v>
      </c>
      <c r="G9" s="2"/>
      <c r="H9" s="4">
        <v>9.4026392026937494E-2</v>
      </c>
      <c r="I9" s="5">
        <f t="shared" si="1"/>
        <v>3231.7811203578685</v>
      </c>
    </row>
    <row r="10" spans="1:9" x14ac:dyDescent="0.25">
      <c r="A10" s="2" t="s">
        <v>16</v>
      </c>
      <c r="B10" s="2">
        <v>3262</v>
      </c>
      <c r="C10" s="2" t="s">
        <v>19</v>
      </c>
      <c r="D10" s="3">
        <v>5147</v>
      </c>
      <c r="E10" s="4">
        <v>5.7259160692841003E-2</v>
      </c>
      <c r="F10" s="3">
        <f t="shared" si="0"/>
        <v>294.71290008605263</v>
      </c>
      <c r="G10" s="2"/>
      <c r="H10" s="4">
        <v>7.4128042611758899E-2</v>
      </c>
      <c r="I10" s="5">
        <f t="shared" si="1"/>
        <v>381.53703532272306</v>
      </c>
    </row>
    <row r="11" spans="1:9" x14ac:dyDescent="0.25">
      <c r="A11" s="2" t="s">
        <v>16</v>
      </c>
      <c r="B11" s="2">
        <v>3272</v>
      </c>
      <c r="C11" s="2" t="s">
        <v>20</v>
      </c>
      <c r="D11" s="3">
        <v>2802</v>
      </c>
      <c r="E11" s="4">
        <v>6.3912517419473805E-2</v>
      </c>
      <c r="F11" s="3">
        <f t="shared" si="0"/>
        <v>179.08287380936559</v>
      </c>
      <c r="G11" s="2"/>
      <c r="H11" s="4">
        <v>6.2775106348571502E-2</v>
      </c>
      <c r="I11" s="5">
        <f t="shared" si="1"/>
        <v>175.89584798869734</v>
      </c>
    </row>
    <row r="12" spans="1:9" x14ac:dyDescent="0.25">
      <c r="A12" s="2" t="s">
        <v>21</v>
      </c>
      <c r="B12" s="2">
        <v>3335</v>
      </c>
      <c r="C12" s="2" t="s">
        <v>22</v>
      </c>
      <c r="D12" s="3">
        <v>29604</v>
      </c>
      <c r="E12" s="4">
        <v>5.0299693566046202E-2</v>
      </c>
      <c r="F12" s="3">
        <f t="shared" si="0"/>
        <v>1489.0721283292319</v>
      </c>
      <c r="G12" s="2"/>
      <c r="H12" s="4">
        <v>2.1955871454370501E-2</v>
      </c>
      <c r="I12" s="5">
        <f t="shared" si="1"/>
        <v>649.98161853518434</v>
      </c>
    </row>
    <row r="13" spans="1:9" x14ac:dyDescent="0.25">
      <c r="A13" s="2" t="s">
        <v>21</v>
      </c>
      <c r="B13" s="2">
        <v>3339</v>
      </c>
      <c r="C13" s="2" t="s">
        <v>23</v>
      </c>
      <c r="D13" s="3">
        <v>17946</v>
      </c>
      <c r="E13" s="4">
        <v>6.57017692436586E-2</v>
      </c>
      <c r="F13" s="3">
        <f t="shared" si="0"/>
        <v>1179.0839508466972</v>
      </c>
      <c r="G13" s="2"/>
      <c r="H13" s="4">
        <v>3.2404033385623601E-2</v>
      </c>
      <c r="I13" s="5">
        <f t="shared" si="1"/>
        <v>581.52278313840111</v>
      </c>
    </row>
    <row r="14" spans="1:9" x14ac:dyDescent="0.25">
      <c r="A14" s="2" t="s">
        <v>24</v>
      </c>
      <c r="B14" s="2">
        <v>3315</v>
      </c>
      <c r="C14" s="2" t="s">
        <v>25</v>
      </c>
      <c r="D14" s="3">
        <v>9349</v>
      </c>
      <c r="E14" s="4">
        <v>0.36016611707652302</v>
      </c>
      <c r="F14" s="3">
        <f t="shared" si="0"/>
        <v>3367.1930285484136</v>
      </c>
      <c r="G14" s="2"/>
      <c r="H14" s="4">
        <v>0.35355615100573001</v>
      </c>
      <c r="I14" s="5">
        <f t="shared" si="1"/>
        <v>3305.3964557525701</v>
      </c>
    </row>
    <row r="15" spans="1:9" x14ac:dyDescent="0.25">
      <c r="A15" s="2" t="s">
        <v>24</v>
      </c>
      <c r="B15" s="2">
        <v>3321</v>
      </c>
      <c r="C15" s="2" t="s">
        <v>26</v>
      </c>
      <c r="D15" s="3">
        <v>6988</v>
      </c>
      <c r="E15" s="4">
        <v>0.17167877556509001</v>
      </c>
      <c r="F15" s="3">
        <f t="shared" si="0"/>
        <v>1199.6912836488489</v>
      </c>
      <c r="G15" s="2"/>
      <c r="H15" s="4">
        <v>0.16889529953815399</v>
      </c>
      <c r="I15" s="5">
        <f t="shared" si="1"/>
        <v>1180.2403531726202</v>
      </c>
    </row>
    <row r="16" spans="1:9" x14ac:dyDescent="0.25">
      <c r="A16" s="2" t="s">
        <v>27</v>
      </c>
      <c r="B16" s="2">
        <v>3326</v>
      </c>
      <c r="C16" s="2" t="s">
        <v>28</v>
      </c>
      <c r="D16" s="3">
        <v>2869</v>
      </c>
      <c r="E16" s="4">
        <v>6.3733756994429097E-2</v>
      </c>
      <c r="F16" s="3">
        <f t="shared" si="0"/>
        <v>182.85214881701708</v>
      </c>
      <c r="G16" s="2"/>
      <c r="H16" s="4">
        <v>7.40621168500743E-2</v>
      </c>
      <c r="I16" s="5">
        <f t="shared" si="1"/>
        <v>212.48421324286318</v>
      </c>
    </row>
    <row r="17" spans="1:9" x14ac:dyDescent="0.25">
      <c r="A17" s="2" t="s">
        <v>27</v>
      </c>
      <c r="B17" s="2">
        <v>3327</v>
      </c>
      <c r="C17" s="2" t="s">
        <v>29</v>
      </c>
      <c r="D17" s="3">
        <v>24530</v>
      </c>
      <c r="E17" s="4">
        <v>0.123069055803641</v>
      </c>
      <c r="F17" s="3">
        <f t="shared" si="0"/>
        <v>3018.8839388633137</v>
      </c>
      <c r="G17" s="2"/>
      <c r="H17" s="4">
        <v>0.12249317890318299</v>
      </c>
      <c r="I17" s="5">
        <f t="shared" si="1"/>
        <v>3004.7576784950788</v>
      </c>
    </row>
    <row r="18" spans="1:9" x14ac:dyDescent="0.25">
      <c r="A18" s="2" t="s">
        <v>27</v>
      </c>
      <c r="B18" s="2">
        <v>3329</v>
      </c>
      <c r="C18" s="2" t="s">
        <v>30</v>
      </c>
      <c r="D18" s="3">
        <v>10865</v>
      </c>
      <c r="E18" s="4">
        <v>2.8338175902437399E-2</v>
      </c>
      <c r="F18" s="3">
        <f t="shared" si="0"/>
        <v>307.89428117998233</v>
      </c>
      <c r="G18" s="2"/>
      <c r="H18" s="4">
        <v>2.8215244874264401E-2</v>
      </c>
      <c r="I18" s="5">
        <f t="shared" si="1"/>
        <v>306.55863555888271</v>
      </c>
    </row>
    <row r="19" spans="1:9" x14ac:dyDescent="0.25">
      <c r="A19" s="2" t="s">
        <v>27</v>
      </c>
      <c r="B19" s="2">
        <v>3344</v>
      </c>
      <c r="C19" s="2" t="s">
        <v>31</v>
      </c>
      <c r="D19" s="3">
        <v>12179</v>
      </c>
      <c r="E19" s="4">
        <v>3.88205289316782E-2</v>
      </c>
      <c r="F19" s="3">
        <f t="shared" si="0"/>
        <v>472.7952218589088</v>
      </c>
      <c r="G19" s="2"/>
      <c r="H19" s="4">
        <v>3.5944184959821601E-2</v>
      </c>
      <c r="I19" s="5">
        <f t="shared" si="1"/>
        <v>437.76422862566727</v>
      </c>
    </row>
    <row r="20" spans="1:9" x14ac:dyDescent="0.25">
      <c r="A20" s="2" t="s">
        <v>32</v>
      </c>
      <c r="B20" s="2">
        <v>3336</v>
      </c>
      <c r="C20" s="2" t="s">
        <v>33</v>
      </c>
      <c r="D20" s="3">
        <v>4970</v>
      </c>
      <c r="E20" s="4">
        <v>0.21364830030585899</v>
      </c>
      <c r="F20" s="3">
        <f t="shared" si="0"/>
        <v>1061.8320525201191</v>
      </c>
      <c r="G20" s="2"/>
      <c r="H20" s="4">
        <v>0.177160228830122</v>
      </c>
      <c r="I20" s="5">
        <f t="shared" si="1"/>
        <v>880.48633728570633</v>
      </c>
    </row>
    <row r="21" spans="1:9" x14ac:dyDescent="0.25">
      <c r="A21" s="2" t="s">
        <v>32</v>
      </c>
      <c r="B21" s="2">
        <v>3345</v>
      </c>
      <c r="C21" s="2" t="s">
        <v>34</v>
      </c>
      <c r="D21" s="3">
        <v>8867</v>
      </c>
      <c r="E21" s="4">
        <v>9.6965071340452003E-3</v>
      </c>
      <c r="F21" s="3">
        <f t="shared" si="0"/>
        <v>85.978928757578785</v>
      </c>
      <c r="G21" s="2"/>
      <c r="H21" s="4">
        <v>3.1337310436444E-3</v>
      </c>
      <c r="I21" s="5">
        <f t="shared" si="1"/>
        <v>27.786793163994894</v>
      </c>
    </row>
    <row r="22" spans="1:9" x14ac:dyDescent="0.25">
      <c r="A22" s="2" t="s">
        <v>32</v>
      </c>
      <c r="B22" s="2">
        <v>3359</v>
      </c>
      <c r="C22" s="2" t="s">
        <v>35</v>
      </c>
      <c r="D22" s="3">
        <v>4446</v>
      </c>
      <c r="E22" s="4">
        <v>7.2019749463542601E-2</v>
      </c>
      <c r="F22" s="3">
        <f t="shared" si="0"/>
        <v>320.19980611491042</v>
      </c>
      <c r="G22" s="2"/>
      <c r="H22" s="4">
        <v>6.4815838335117504E-2</v>
      </c>
      <c r="I22" s="5">
        <f t="shared" si="1"/>
        <v>288.17121723793241</v>
      </c>
    </row>
    <row r="23" spans="1:9" x14ac:dyDescent="0.25">
      <c r="A23" s="2" t="s">
        <v>36</v>
      </c>
      <c r="B23" s="2">
        <v>5413</v>
      </c>
      <c r="C23" s="2" t="s">
        <v>37</v>
      </c>
      <c r="D23" s="3">
        <v>84452</v>
      </c>
      <c r="E23" s="4">
        <v>4.6972800787778999E-3</v>
      </c>
      <c r="F23" s="3">
        <f t="shared" si="0"/>
        <v>396.69469721295121</v>
      </c>
      <c r="G23" s="2"/>
      <c r="H23" s="4">
        <v>3.6576200265398002E-3</v>
      </c>
      <c r="I23" s="5">
        <f t="shared" si="1"/>
        <v>308.89332648133922</v>
      </c>
    </row>
    <row r="24" spans="1:9" x14ac:dyDescent="0.25">
      <c r="A24" s="2" t="s">
        <v>36</v>
      </c>
      <c r="B24" s="2">
        <v>5414</v>
      </c>
      <c r="C24" s="2" t="s">
        <v>38</v>
      </c>
      <c r="D24" s="3">
        <v>10458</v>
      </c>
      <c r="E24" s="4">
        <v>6.6862521231654997E-3</v>
      </c>
      <c r="F24" s="3">
        <f t="shared" si="0"/>
        <v>69.92482470406479</v>
      </c>
      <c r="G24" s="2"/>
      <c r="H24" s="4">
        <v>5.3699691240264996E-3</v>
      </c>
      <c r="I24" s="5">
        <f t="shared" si="1"/>
        <v>56.159137099069135</v>
      </c>
    </row>
    <row r="25" spans="1:9" x14ac:dyDescent="0.25">
      <c r="A25" s="2" t="s">
        <v>36</v>
      </c>
      <c r="B25" s="2">
        <v>5417</v>
      </c>
      <c r="C25" s="2" t="s">
        <v>39</v>
      </c>
      <c r="D25" s="3">
        <v>25297</v>
      </c>
      <c r="E25" s="4">
        <v>1.8417463946991E-3</v>
      </c>
      <c r="F25" s="3">
        <f t="shared" si="0"/>
        <v>46.590658546703132</v>
      </c>
      <c r="G25" s="2"/>
      <c r="H25" s="4">
        <v>4.4750915978744802E-5</v>
      </c>
      <c r="I25" s="5">
        <f t="shared" si="1"/>
        <v>1.1320639215143073</v>
      </c>
    </row>
    <row r="26" spans="1:9" x14ac:dyDescent="0.25">
      <c r="A26" s="2" t="s">
        <v>40</v>
      </c>
      <c r="B26" s="2">
        <v>3361</v>
      </c>
      <c r="C26" s="2" t="s">
        <v>41</v>
      </c>
      <c r="D26" s="3">
        <v>48138</v>
      </c>
      <c r="E26" s="4">
        <v>1</v>
      </c>
      <c r="F26" s="3">
        <f t="shared" si="0"/>
        <v>48138</v>
      </c>
      <c r="G26" s="2"/>
      <c r="H26" s="4">
        <v>1</v>
      </c>
      <c r="I26" s="5">
        <f t="shared" si="1"/>
        <v>48138</v>
      </c>
    </row>
    <row r="27" spans="1:9" x14ac:dyDescent="0.25">
      <c r="A27" s="2" t="s">
        <v>40</v>
      </c>
      <c r="B27" s="2">
        <v>3362</v>
      </c>
      <c r="C27" s="2" t="s">
        <v>42</v>
      </c>
      <c r="D27" s="3">
        <v>7921</v>
      </c>
      <c r="E27" s="4">
        <v>1</v>
      </c>
      <c r="F27" s="3">
        <f t="shared" si="0"/>
        <v>7921</v>
      </c>
      <c r="G27" s="2"/>
      <c r="H27" s="4">
        <v>1</v>
      </c>
      <c r="I27" s="5">
        <f t="shared" si="1"/>
        <v>7921</v>
      </c>
    </row>
    <row r="28" spans="1:9" x14ac:dyDescent="0.25">
      <c r="A28" s="2" t="s">
        <v>40</v>
      </c>
      <c r="B28" s="2">
        <v>3363</v>
      </c>
      <c r="C28" s="2" t="s">
        <v>43</v>
      </c>
      <c r="D28" s="3">
        <v>117023</v>
      </c>
      <c r="E28" s="4">
        <v>1</v>
      </c>
      <c r="F28" s="3">
        <f t="shared" si="0"/>
        <v>117023</v>
      </c>
      <c r="G28" s="2"/>
      <c r="H28" s="4">
        <v>1</v>
      </c>
      <c r="I28" s="5">
        <f t="shared" si="1"/>
        <v>117023</v>
      </c>
    </row>
    <row r="29" spans="1:9" x14ac:dyDescent="0.25">
      <c r="A29" s="2" t="s">
        <v>44</v>
      </c>
      <c r="B29" s="2">
        <v>4231</v>
      </c>
      <c r="C29" s="2" t="s">
        <v>45</v>
      </c>
      <c r="D29" s="3">
        <v>25978</v>
      </c>
      <c r="E29" s="4">
        <v>1</v>
      </c>
      <c r="F29" s="3">
        <f t="shared" si="0"/>
        <v>25978</v>
      </c>
      <c r="G29" s="2"/>
      <c r="H29" s="4">
        <v>1</v>
      </c>
      <c r="I29" s="5">
        <f t="shared" si="1"/>
        <v>25978</v>
      </c>
    </row>
    <row r="30" spans="1:9" x14ac:dyDescent="0.25">
      <c r="A30" s="2" t="s">
        <v>44</v>
      </c>
      <c r="B30" s="2">
        <v>4235</v>
      </c>
      <c r="C30" s="2" t="s">
        <v>46</v>
      </c>
      <c r="D30" s="3">
        <v>6359</v>
      </c>
      <c r="E30" s="4">
        <v>1</v>
      </c>
      <c r="F30" s="3">
        <f t="shared" si="0"/>
        <v>6359</v>
      </c>
      <c r="G30" s="2"/>
      <c r="H30" s="4">
        <v>1</v>
      </c>
      <c r="I30" s="5">
        <f t="shared" si="1"/>
        <v>6359</v>
      </c>
    </row>
    <row r="31" spans="1:9" x14ac:dyDescent="0.25">
      <c r="A31" s="2" t="s">
        <v>44</v>
      </c>
      <c r="B31" s="2">
        <v>4238</v>
      </c>
      <c r="C31" s="2" t="s">
        <v>47</v>
      </c>
      <c r="D31" s="3">
        <v>24407</v>
      </c>
      <c r="E31" s="4">
        <v>1</v>
      </c>
      <c r="F31" s="3">
        <f t="shared" si="0"/>
        <v>24407</v>
      </c>
      <c r="G31" s="2"/>
      <c r="H31" s="4">
        <v>1</v>
      </c>
      <c r="I31" s="5">
        <f t="shared" si="1"/>
        <v>24407</v>
      </c>
    </row>
    <row r="32" spans="1:9" x14ac:dyDescent="0.25">
      <c r="A32" s="2" t="s">
        <v>44</v>
      </c>
      <c r="B32" s="2">
        <v>4239</v>
      </c>
      <c r="C32" s="2" t="s">
        <v>48</v>
      </c>
      <c r="D32" s="3">
        <v>8732</v>
      </c>
      <c r="E32" s="4">
        <v>1</v>
      </c>
      <c r="F32" s="3">
        <f t="shared" si="0"/>
        <v>8732</v>
      </c>
      <c r="G32" s="2"/>
      <c r="H32" s="4">
        <v>1</v>
      </c>
      <c r="I32" s="5">
        <f t="shared" si="1"/>
        <v>8732</v>
      </c>
    </row>
    <row r="33" spans="1:9" x14ac:dyDescent="0.25">
      <c r="A33" s="2" t="s">
        <v>44</v>
      </c>
      <c r="B33" s="2">
        <v>4247</v>
      </c>
      <c r="C33" s="2" t="s">
        <v>49</v>
      </c>
      <c r="D33" s="3">
        <v>3846</v>
      </c>
      <c r="E33" s="4">
        <v>1</v>
      </c>
      <c r="F33" s="3">
        <f t="shared" si="0"/>
        <v>3846</v>
      </c>
      <c r="G33" s="2"/>
      <c r="H33" s="4">
        <v>1</v>
      </c>
      <c r="I33" s="5">
        <f t="shared" si="1"/>
        <v>3846</v>
      </c>
    </row>
    <row r="34" spans="1:9" x14ac:dyDescent="0.25">
      <c r="A34" s="2" t="s">
        <v>44</v>
      </c>
      <c r="B34" s="2">
        <v>4413</v>
      </c>
      <c r="C34" s="2" t="s">
        <v>50</v>
      </c>
      <c r="D34" s="3">
        <v>18192</v>
      </c>
      <c r="E34" s="4">
        <v>1</v>
      </c>
      <c r="F34" s="3">
        <f t="shared" si="0"/>
        <v>18192</v>
      </c>
      <c r="G34" s="2"/>
      <c r="H34" s="4">
        <v>1</v>
      </c>
      <c r="I34" s="5">
        <f t="shared" si="1"/>
        <v>18192</v>
      </c>
    </row>
    <row r="35" spans="1:9" x14ac:dyDescent="0.25">
      <c r="A35" s="2" t="s">
        <v>44</v>
      </c>
      <c r="B35" s="2">
        <v>4571</v>
      </c>
      <c r="C35" s="2" t="s">
        <v>51</v>
      </c>
      <c r="D35" s="3">
        <v>27826</v>
      </c>
      <c r="E35" s="4">
        <v>1</v>
      </c>
      <c r="F35" s="3">
        <f t="shared" si="0"/>
        <v>27826</v>
      </c>
      <c r="G35" s="2"/>
      <c r="H35" s="4">
        <v>1</v>
      </c>
      <c r="I35" s="5">
        <f t="shared" si="1"/>
        <v>27826</v>
      </c>
    </row>
    <row r="36" spans="1:9" x14ac:dyDescent="0.25">
      <c r="A36" s="2" t="s">
        <v>52</v>
      </c>
      <c r="B36" s="2">
        <v>4411</v>
      </c>
      <c r="C36" s="2" t="s">
        <v>53</v>
      </c>
      <c r="D36" s="3">
        <v>38262</v>
      </c>
      <c r="E36" s="4">
        <v>1</v>
      </c>
      <c r="F36" s="3">
        <f t="shared" si="0"/>
        <v>38262</v>
      </c>
      <c r="G36" s="2"/>
      <c r="H36" s="4">
        <v>1</v>
      </c>
      <c r="I36" s="5">
        <f t="shared" si="1"/>
        <v>38262</v>
      </c>
    </row>
    <row r="37" spans="1:9" x14ac:dyDescent="0.25">
      <c r="A37" s="2" t="s">
        <v>52</v>
      </c>
      <c r="B37" s="2">
        <v>8111</v>
      </c>
      <c r="C37" s="2" t="s">
        <v>54</v>
      </c>
      <c r="D37" s="3">
        <v>31338</v>
      </c>
      <c r="E37" s="4">
        <v>1</v>
      </c>
      <c r="F37" s="3">
        <f t="shared" si="0"/>
        <v>31338</v>
      </c>
      <c r="G37" s="2"/>
      <c r="H37" s="4">
        <v>1</v>
      </c>
      <c r="I37" s="5">
        <f t="shared" si="1"/>
        <v>31338</v>
      </c>
    </row>
    <row r="38" spans="1:9" x14ac:dyDescent="0.25">
      <c r="A38" s="2" t="s">
        <v>55</v>
      </c>
      <c r="B38" s="2">
        <v>4841</v>
      </c>
      <c r="C38" s="2" t="s">
        <v>56</v>
      </c>
      <c r="D38" s="3">
        <v>35249</v>
      </c>
      <c r="E38" s="4">
        <v>1</v>
      </c>
      <c r="F38" s="3">
        <f t="shared" si="0"/>
        <v>35249</v>
      </c>
      <c r="G38" s="2"/>
      <c r="H38" s="4">
        <v>1</v>
      </c>
      <c r="I38" s="5">
        <f t="shared" si="1"/>
        <v>35249</v>
      </c>
    </row>
    <row r="39" spans="1:9" ht="15.75" thickBot="1" x14ac:dyDescent="0.3">
      <c r="A39" s="6" t="s">
        <v>55</v>
      </c>
      <c r="B39" s="6">
        <v>4842</v>
      </c>
      <c r="C39" s="6" t="s">
        <v>57</v>
      </c>
      <c r="D39" s="7">
        <v>11640</v>
      </c>
      <c r="E39" s="4">
        <v>1</v>
      </c>
      <c r="F39" s="7">
        <f t="shared" si="0"/>
        <v>11640</v>
      </c>
      <c r="G39" s="6"/>
      <c r="H39" s="4">
        <v>1</v>
      </c>
      <c r="I39" s="8">
        <f t="shared" si="1"/>
        <v>11640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FEEA9-A2D9-47E8-ABE6-7828A4626486}">
  <dimension ref="A1:K68"/>
  <sheetViews>
    <sheetView workbookViewId="0">
      <selection activeCell="O14" sqref="O14"/>
    </sheetView>
  </sheetViews>
  <sheetFormatPr defaultRowHeight="15" x14ac:dyDescent="0.25"/>
  <cols>
    <col min="1" max="1" width="39.85546875" customWidth="1"/>
    <col min="2" max="3" width="11.5703125" bestFit="1" customWidth="1"/>
    <col min="6" max="6" width="4.5703125" customWidth="1"/>
    <col min="7" max="7" width="10.5703125" customWidth="1"/>
    <col min="9" max="9" width="3.7109375" customWidth="1"/>
    <col min="10" max="10" width="9.5703125" bestFit="1" customWidth="1"/>
  </cols>
  <sheetData>
    <row r="1" spans="1:11" ht="15.75" thickBot="1" x14ac:dyDescent="0.3">
      <c r="A1" s="70" t="s">
        <v>58</v>
      </c>
      <c r="B1" s="71"/>
      <c r="C1" s="71"/>
      <c r="D1" s="71"/>
      <c r="E1" s="71"/>
      <c r="F1" s="71"/>
      <c r="G1" s="71"/>
      <c r="H1" s="71"/>
      <c r="I1" s="71"/>
      <c r="J1" s="71"/>
      <c r="K1" s="72"/>
    </row>
    <row r="2" spans="1:11" ht="90" x14ac:dyDescent="0.25">
      <c r="A2" s="9" t="s">
        <v>59</v>
      </c>
      <c r="B2" s="10" t="s">
        <v>60</v>
      </c>
      <c r="C2" s="10" t="s">
        <v>61</v>
      </c>
      <c r="D2" s="11" t="s">
        <v>62</v>
      </c>
      <c r="E2" s="11" t="s">
        <v>63</v>
      </c>
      <c r="F2" s="10"/>
      <c r="G2" s="12" t="s">
        <v>64</v>
      </c>
      <c r="H2" s="12" t="s">
        <v>65</v>
      </c>
      <c r="I2" s="13"/>
      <c r="J2" s="14" t="s">
        <v>66</v>
      </c>
      <c r="K2" s="15" t="s">
        <v>67</v>
      </c>
    </row>
    <row r="3" spans="1:11" ht="45" x14ac:dyDescent="0.25">
      <c r="A3" s="16" t="s">
        <v>68</v>
      </c>
      <c r="B3" s="17">
        <v>7265</v>
      </c>
      <c r="C3" s="17">
        <v>5524</v>
      </c>
      <c r="D3" s="18">
        <f>C3-B3</f>
        <v>-1741</v>
      </c>
      <c r="E3" s="19">
        <v>-23.964211975223677</v>
      </c>
      <c r="F3" s="20"/>
      <c r="G3" s="21">
        <v>-243.69392697826964</v>
      </c>
      <c r="H3" s="22">
        <v>-4.0109930257229696</v>
      </c>
      <c r="I3" s="20"/>
      <c r="J3" s="23">
        <f>(K3/100)*C3</f>
        <v>44.816212567149805</v>
      </c>
      <c r="K3" s="24">
        <v>0.81130001026701315</v>
      </c>
    </row>
    <row r="4" spans="1:11" ht="30" x14ac:dyDescent="0.25">
      <c r="A4" s="16" t="s">
        <v>69</v>
      </c>
      <c r="B4" s="17">
        <v>4874</v>
      </c>
      <c r="C4" s="17">
        <v>4347</v>
      </c>
      <c r="D4" s="18">
        <f t="shared" ref="D4:D11" si="0">C4-B4</f>
        <v>-527</v>
      </c>
      <c r="E4" s="19">
        <v>-10.812474353713581</v>
      </c>
      <c r="F4" s="20"/>
      <c r="G4" s="21">
        <v>-4.4977149770506486</v>
      </c>
      <c r="H4" s="22">
        <v>-9.4631808971093301E-2</v>
      </c>
      <c r="I4" s="20"/>
      <c r="J4" s="23">
        <f t="shared" ref="J4:J11" si="1">(K4/100)*C4</f>
        <v>35.267211446307059</v>
      </c>
      <c r="K4" s="24">
        <v>0.81130001026701315</v>
      </c>
    </row>
    <row r="5" spans="1:11" x14ac:dyDescent="0.25">
      <c r="A5" s="16" t="s">
        <v>70</v>
      </c>
      <c r="B5" s="17">
        <v>36820</v>
      </c>
      <c r="C5" s="17">
        <v>34371</v>
      </c>
      <c r="D5" s="18">
        <f t="shared" si="0"/>
        <v>-2449</v>
      </c>
      <c r="E5" s="19">
        <v>-6.6512764801738191</v>
      </c>
      <c r="F5" s="20"/>
      <c r="G5" s="21">
        <v>-2016.5210339430998</v>
      </c>
      <c r="H5" s="22">
        <v>-5.8367142964990402</v>
      </c>
      <c r="I5" s="20"/>
      <c r="J5" s="23">
        <f t="shared" si="1"/>
        <v>-607.53042662508028</v>
      </c>
      <c r="K5" s="24">
        <v>-1.7675669216056566</v>
      </c>
    </row>
    <row r="6" spans="1:11" x14ac:dyDescent="0.25">
      <c r="A6" s="16" t="s">
        <v>71</v>
      </c>
      <c r="B6" s="17">
        <v>6003</v>
      </c>
      <c r="C6" s="17">
        <v>5147</v>
      </c>
      <c r="D6" s="18">
        <f t="shared" si="0"/>
        <v>-856</v>
      </c>
      <c r="E6" s="19">
        <v>-14.25953689821756</v>
      </c>
      <c r="F6" s="20"/>
      <c r="G6" s="21">
        <v>-671.22842169679052</v>
      </c>
      <c r="H6" s="22">
        <v>-12.9908330570168</v>
      </c>
      <c r="I6" s="20"/>
      <c r="J6" s="23">
        <f t="shared" si="1"/>
        <v>-90.976669455043151</v>
      </c>
      <c r="K6" s="24">
        <v>-1.7675669216056566</v>
      </c>
    </row>
    <row r="7" spans="1:11" ht="30" x14ac:dyDescent="0.25">
      <c r="A7" s="16" t="s">
        <v>72</v>
      </c>
      <c r="B7" s="17">
        <v>3185</v>
      </c>
      <c r="C7" s="17">
        <v>2802</v>
      </c>
      <c r="D7" s="18">
        <f t="shared" si="0"/>
        <v>-383</v>
      </c>
      <c r="E7" s="19">
        <v>-12.025117739403454</v>
      </c>
      <c r="F7" s="20"/>
      <c r="G7" s="21">
        <v>-288.03363950911989</v>
      </c>
      <c r="H7" s="22">
        <v>-9.09571418424086</v>
      </c>
      <c r="I7" s="20"/>
      <c r="J7" s="23">
        <f t="shared" si="1"/>
        <v>-73.415870280295323</v>
      </c>
      <c r="K7" s="24">
        <v>-2.6201238501176061</v>
      </c>
    </row>
    <row r="8" spans="1:11" ht="30" x14ac:dyDescent="0.25">
      <c r="A8" s="16" t="s">
        <v>73</v>
      </c>
      <c r="B8" s="17">
        <v>5228</v>
      </c>
      <c r="C8" s="17">
        <v>3258</v>
      </c>
      <c r="D8" s="18">
        <f t="shared" si="0"/>
        <v>-1970</v>
      </c>
      <c r="E8" s="19">
        <v>-37.681713848508039</v>
      </c>
      <c r="F8" s="20"/>
      <c r="G8" s="21">
        <v>-569.20618510033</v>
      </c>
      <c r="H8" s="22">
        <v>-16.9713259744825</v>
      </c>
      <c r="I8" s="20"/>
      <c r="J8" s="23">
        <f t="shared" si="1"/>
        <v>-159.11462552077529</v>
      </c>
      <c r="K8" s="24">
        <v>-4.8838129380225688</v>
      </c>
    </row>
    <row r="9" spans="1:11" ht="30" x14ac:dyDescent="0.25">
      <c r="A9" s="16" t="s">
        <v>74</v>
      </c>
      <c r="B9" s="17">
        <v>1790</v>
      </c>
      <c r="C9" s="17">
        <v>1974</v>
      </c>
      <c r="D9" s="18">
        <f t="shared" si="0"/>
        <v>184</v>
      </c>
      <c r="E9" s="19">
        <v>10.279329608938548</v>
      </c>
      <c r="F9" s="20"/>
      <c r="G9" s="21">
        <v>-270.26256690820992</v>
      </c>
      <c r="H9" s="22">
        <v>-15.0072303708902</v>
      </c>
      <c r="I9" s="20"/>
      <c r="J9" s="23">
        <f t="shared" si="1"/>
        <v>-96.406467396565503</v>
      </c>
      <c r="K9" s="24">
        <v>-4.8838129380225688</v>
      </c>
    </row>
    <row r="10" spans="1:11" ht="30" x14ac:dyDescent="0.25">
      <c r="A10" s="16" t="s">
        <v>75</v>
      </c>
      <c r="B10" s="17">
        <v>3436</v>
      </c>
      <c r="C10" s="17">
        <v>2698</v>
      </c>
      <c r="D10" s="18">
        <f t="shared" si="0"/>
        <v>-738</v>
      </c>
      <c r="E10" s="19">
        <v>-21.47846332945285</v>
      </c>
      <c r="F10" s="20"/>
      <c r="G10" s="21">
        <v>-321.65826552178032</v>
      </c>
      <c r="H10" s="22">
        <v>-11.217919509285499</v>
      </c>
      <c r="I10" s="20"/>
      <c r="J10" s="23">
        <f t="shared" si="1"/>
        <v>-131.76527306784891</v>
      </c>
      <c r="K10" s="24">
        <v>-4.8838129380225688</v>
      </c>
    </row>
    <row r="11" spans="1:11" ht="30" x14ac:dyDescent="0.25">
      <c r="A11" s="16" t="s">
        <v>76</v>
      </c>
      <c r="B11" s="17">
        <v>1414</v>
      </c>
      <c r="C11" s="17">
        <v>1262</v>
      </c>
      <c r="D11" s="18">
        <f t="shared" si="0"/>
        <v>-152</v>
      </c>
      <c r="E11" s="19">
        <v>-10.74964639321075</v>
      </c>
      <c r="F11" s="20"/>
      <c r="G11" s="21">
        <v>-205.48259367105004</v>
      </c>
      <c r="H11" s="22">
        <v>-16.721149248860499</v>
      </c>
      <c r="I11" s="20"/>
      <c r="J11" s="23">
        <f t="shared" si="1"/>
        <v>-61.633719277844811</v>
      </c>
      <c r="K11" s="24">
        <v>-4.8838129380225688</v>
      </c>
    </row>
    <row r="12" spans="1:11" ht="30.75" thickBot="1" x14ac:dyDescent="0.3">
      <c r="A12" s="16" t="s">
        <v>77</v>
      </c>
      <c r="B12" s="17">
        <v>13709</v>
      </c>
      <c r="C12" s="17">
        <v>11221</v>
      </c>
      <c r="D12" s="18">
        <f>C12-B12</f>
        <v>-2488</v>
      </c>
      <c r="E12" s="19">
        <v>-18.148661463272305</v>
      </c>
      <c r="F12" s="20"/>
      <c r="G12" s="21">
        <v>-366.02137761200026</v>
      </c>
      <c r="H12" s="22">
        <v>-3.2102769026679301</v>
      </c>
      <c r="I12" s="20"/>
      <c r="J12" s="23">
        <f>(K12/100)*C12</f>
        <v>-293.27338760859743</v>
      </c>
      <c r="K12" s="24">
        <v>-2.6136118671116426</v>
      </c>
    </row>
    <row r="13" spans="1:11" ht="15.75" thickBot="1" x14ac:dyDescent="0.3">
      <c r="A13" s="70" t="s">
        <v>78</v>
      </c>
      <c r="B13" s="71"/>
      <c r="C13" s="71"/>
      <c r="D13" s="71"/>
      <c r="E13" s="71"/>
      <c r="F13" s="71"/>
      <c r="G13" s="71"/>
      <c r="H13" s="71"/>
      <c r="I13" s="71"/>
      <c r="J13" s="71"/>
      <c r="K13" s="72"/>
    </row>
    <row r="14" spans="1:11" ht="90" x14ac:dyDescent="0.25">
      <c r="A14" s="25" t="s">
        <v>59</v>
      </c>
      <c r="B14" s="26" t="s">
        <v>60</v>
      </c>
      <c r="C14" s="26" t="s">
        <v>61</v>
      </c>
      <c r="D14" s="11" t="s">
        <v>62</v>
      </c>
      <c r="E14" s="11" t="s">
        <v>63</v>
      </c>
      <c r="F14" s="26"/>
      <c r="G14" s="1" t="s">
        <v>64</v>
      </c>
      <c r="H14" s="1" t="s">
        <v>65</v>
      </c>
      <c r="I14" s="27"/>
      <c r="J14" s="28" t="s">
        <v>66</v>
      </c>
      <c r="K14" s="29" t="s">
        <v>67</v>
      </c>
    </row>
    <row r="15" spans="1:11" ht="30" x14ac:dyDescent="0.25">
      <c r="A15" s="16" t="s">
        <v>79</v>
      </c>
      <c r="B15" s="17">
        <v>38331</v>
      </c>
      <c r="C15" s="17">
        <v>29604</v>
      </c>
      <c r="D15" s="18">
        <f t="shared" ref="D15:D22" si="2">C15-B15</f>
        <v>-8727</v>
      </c>
      <c r="E15" s="19">
        <v>-22.767472802692339</v>
      </c>
      <c r="F15" s="20"/>
      <c r="G15" s="21">
        <v>-2323.1999060806993</v>
      </c>
      <c r="H15" s="22">
        <v>-7.81140432737645</v>
      </c>
      <c r="I15" s="20"/>
      <c r="J15" s="23">
        <f t="shared" ref="J15:J22" si="3">(K15/100)*C15</f>
        <v>-529.92061692385289</v>
      </c>
      <c r="K15" s="30">
        <v>-1.7900304584645754</v>
      </c>
    </row>
    <row r="16" spans="1:11" ht="30" x14ac:dyDescent="0.25">
      <c r="A16" s="16" t="s">
        <v>80</v>
      </c>
      <c r="B16" s="17">
        <v>17093</v>
      </c>
      <c r="C16" s="17">
        <v>17946</v>
      </c>
      <c r="D16" s="18">
        <f t="shared" si="2"/>
        <v>853</v>
      </c>
      <c r="E16" s="19">
        <v>4.9903469256420756</v>
      </c>
      <c r="F16" s="20"/>
      <c r="G16" s="21">
        <v>184.61068979799933</v>
      </c>
      <c r="H16" s="22">
        <v>1.05325605359721</v>
      </c>
      <c r="I16" s="20"/>
      <c r="J16" s="23">
        <f t="shared" si="3"/>
        <v>-321.23886607605272</v>
      </c>
      <c r="K16" s="30">
        <v>-1.7900304584645754</v>
      </c>
    </row>
    <row r="17" spans="1:11" x14ac:dyDescent="0.25">
      <c r="A17" s="16" t="s">
        <v>81</v>
      </c>
      <c r="B17" s="17">
        <v>10846</v>
      </c>
      <c r="C17" s="17">
        <v>9349</v>
      </c>
      <c r="D17" s="18">
        <f t="shared" si="2"/>
        <v>-1497</v>
      </c>
      <c r="E17" s="19">
        <v>-13.802323437211875</v>
      </c>
      <c r="F17" s="20"/>
      <c r="G17" s="21">
        <v>-2090.5750047369606</v>
      </c>
      <c r="H17" s="31">
        <v>-22.873946076107899</v>
      </c>
      <c r="I17" s="32"/>
      <c r="J17" s="23">
        <f t="shared" si="3"/>
        <v>-456.58767157572993</v>
      </c>
      <c r="K17" s="30">
        <v>-4.8838129380225688</v>
      </c>
    </row>
    <row r="18" spans="1:11" x14ac:dyDescent="0.25">
      <c r="A18" s="16" t="s">
        <v>82</v>
      </c>
      <c r="B18" s="17">
        <v>8431</v>
      </c>
      <c r="C18" s="17">
        <v>6988</v>
      </c>
      <c r="D18" s="18">
        <f t="shared" si="2"/>
        <v>-1443</v>
      </c>
      <c r="E18" s="19">
        <v>-17.115407424979242</v>
      </c>
      <c r="F18" s="20"/>
      <c r="G18" s="21">
        <v>-306.79522224683001</v>
      </c>
      <c r="H18" s="31">
        <v>-4.2154450149616398</v>
      </c>
      <c r="I18" s="32"/>
      <c r="J18" s="23">
        <f t="shared" si="3"/>
        <v>-182.6391972737616</v>
      </c>
      <c r="K18" s="30">
        <v>-2.6136118671116426</v>
      </c>
    </row>
    <row r="19" spans="1:11" ht="30" x14ac:dyDescent="0.25">
      <c r="A19" s="16" t="s">
        <v>83</v>
      </c>
      <c r="B19" s="17">
        <v>3444</v>
      </c>
      <c r="C19" s="17">
        <v>2869</v>
      </c>
      <c r="D19" s="18">
        <f t="shared" si="2"/>
        <v>-575</v>
      </c>
      <c r="E19" s="19">
        <v>-16.695702671312425</v>
      </c>
      <c r="F19" s="20"/>
      <c r="G19" s="21">
        <v>-44.482158371999873</v>
      </c>
      <c r="H19" s="31">
        <v>-1.31378196920688</v>
      </c>
      <c r="I19" s="32"/>
      <c r="J19" s="23">
        <f t="shared" si="3"/>
        <v>-74.984524467433033</v>
      </c>
      <c r="K19" s="30">
        <v>-2.6136118671116426</v>
      </c>
    </row>
    <row r="20" spans="1:11" ht="30" x14ac:dyDescent="0.25">
      <c r="A20" s="16" t="s">
        <v>84</v>
      </c>
      <c r="B20" s="17">
        <v>28818</v>
      </c>
      <c r="C20" s="17">
        <v>24530</v>
      </c>
      <c r="D20" s="18">
        <f t="shared" si="2"/>
        <v>-4288</v>
      </c>
      <c r="E20" s="19">
        <v>-14.879589145672846</v>
      </c>
      <c r="F20" s="20"/>
      <c r="G20" s="21">
        <v>-1626.5911640866016</v>
      </c>
      <c r="H20" s="31">
        <v>-6.6123205534729399</v>
      </c>
      <c r="I20" s="32"/>
      <c r="J20" s="23">
        <f t="shared" si="3"/>
        <v>-641.11899100248593</v>
      </c>
      <c r="K20" s="30">
        <v>-2.6136118671116426</v>
      </c>
    </row>
    <row r="21" spans="1:11" ht="30" x14ac:dyDescent="0.25">
      <c r="A21" s="16" t="s">
        <v>85</v>
      </c>
      <c r="B21" s="17">
        <v>11286</v>
      </c>
      <c r="C21" s="17">
        <v>10865</v>
      </c>
      <c r="D21" s="18">
        <f t="shared" si="2"/>
        <v>-421</v>
      </c>
      <c r="E21" s="19">
        <v>-3.7302853092326775</v>
      </c>
      <c r="F21" s="20"/>
      <c r="G21" s="21">
        <v>-91.435938772299608</v>
      </c>
      <c r="H21" s="31">
        <v>-0.87041644695290099</v>
      </c>
      <c r="I21" s="32"/>
      <c r="J21" s="23">
        <f t="shared" si="3"/>
        <v>-283.96892936167995</v>
      </c>
      <c r="K21" s="30">
        <v>-2.6136118671116426</v>
      </c>
    </row>
    <row r="22" spans="1:11" ht="30.75" thickBot="1" x14ac:dyDescent="0.3">
      <c r="A22" s="16" t="s">
        <v>86</v>
      </c>
      <c r="B22" s="17">
        <v>10170</v>
      </c>
      <c r="C22" s="17">
        <v>12179</v>
      </c>
      <c r="D22" s="18">
        <f t="shared" si="2"/>
        <v>2009</v>
      </c>
      <c r="E22" s="19">
        <v>19.754178957718782</v>
      </c>
      <c r="F22" s="20"/>
      <c r="G22" s="21">
        <v>-348.08163597269902</v>
      </c>
      <c r="H22" s="31">
        <v>-3.0497183265857202</v>
      </c>
      <c r="I22" s="32"/>
      <c r="J22" s="23">
        <f t="shared" si="3"/>
        <v>200.05947547842922</v>
      </c>
      <c r="K22" s="30">
        <v>1.6426592945104623</v>
      </c>
    </row>
    <row r="23" spans="1:11" ht="15.75" thickBot="1" x14ac:dyDescent="0.3">
      <c r="A23" s="70" t="s">
        <v>87</v>
      </c>
      <c r="B23" s="71"/>
      <c r="C23" s="71"/>
      <c r="D23" s="71"/>
      <c r="E23" s="71"/>
      <c r="F23" s="71"/>
      <c r="G23" s="71"/>
      <c r="H23" s="71"/>
      <c r="I23" s="71"/>
      <c r="J23" s="71"/>
      <c r="K23" s="72"/>
    </row>
    <row r="24" spans="1:11" ht="90" x14ac:dyDescent="0.25">
      <c r="A24" s="25" t="s">
        <v>59</v>
      </c>
      <c r="B24" s="26" t="s">
        <v>60</v>
      </c>
      <c r="C24" s="26" t="s">
        <v>61</v>
      </c>
      <c r="D24" s="11" t="s">
        <v>62</v>
      </c>
      <c r="E24" s="11" t="s">
        <v>63</v>
      </c>
      <c r="F24" s="26"/>
      <c r="G24" s="1" t="s">
        <v>64</v>
      </c>
      <c r="H24" s="1" t="s">
        <v>65</v>
      </c>
      <c r="I24" s="27"/>
      <c r="J24" s="28" t="s">
        <v>66</v>
      </c>
      <c r="K24" s="29" t="s">
        <v>67</v>
      </c>
    </row>
    <row r="25" spans="1:11" ht="30" x14ac:dyDescent="0.25">
      <c r="A25" s="16" t="s">
        <v>88</v>
      </c>
      <c r="B25" s="17">
        <v>4502</v>
      </c>
      <c r="C25" s="17">
        <v>4970</v>
      </c>
      <c r="D25" s="18">
        <f t="shared" ref="D25:D33" si="4">C25-B25</f>
        <v>468</v>
      </c>
      <c r="E25" s="19">
        <v>10.395379831186141</v>
      </c>
      <c r="F25" s="20"/>
      <c r="G25" s="21">
        <v>-213.98573301383993</v>
      </c>
      <c r="H25" s="31">
        <v>-4.4646054436007701</v>
      </c>
      <c r="I25" s="32"/>
      <c r="J25" s="23">
        <f t="shared" ref="J25:J33" si="5">(K25/100)*C25</f>
        <v>-88.964513785689405</v>
      </c>
      <c r="K25" s="30">
        <v>-1.7900304584645754</v>
      </c>
    </row>
    <row r="26" spans="1:11" ht="45" x14ac:dyDescent="0.25">
      <c r="A26" s="16" t="s">
        <v>89</v>
      </c>
      <c r="B26" s="17">
        <v>9027</v>
      </c>
      <c r="C26" s="17">
        <v>8867</v>
      </c>
      <c r="D26" s="18">
        <f t="shared" si="4"/>
        <v>-160</v>
      </c>
      <c r="E26" s="19">
        <v>-1.7724603965880139</v>
      </c>
      <c r="F26" s="20"/>
      <c r="G26" s="21">
        <v>-266.19142940051967</v>
      </c>
      <c r="H26" s="31">
        <v>-2.7267026208773602</v>
      </c>
      <c r="I26" s="32"/>
      <c r="J26" s="23">
        <f t="shared" si="5"/>
        <v>145.65459964424269</v>
      </c>
      <c r="K26" s="30">
        <v>1.6426592945104623</v>
      </c>
    </row>
    <row r="27" spans="1:11" ht="30" x14ac:dyDescent="0.25">
      <c r="A27" s="16" t="s">
        <v>90</v>
      </c>
      <c r="B27" s="17">
        <v>3847</v>
      </c>
      <c r="C27" s="17">
        <v>4446</v>
      </c>
      <c r="D27" s="18">
        <f t="shared" si="4"/>
        <v>599</v>
      </c>
      <c r="E27" s="19">
        <v>15.570574473615807</v>
      </c>
      <c r="F27" s="20"/>
      <c r="G27" s="21">
        <v>93.82188671687075</v>
      </c>
      <c r="H27" s="31">
        <v>2.12626314774647</v>
      </c>
      <c r="I27" s="32"/>
      <c r="J27" s="23">
        <f t="shared" si="5"/>
        <v>280.10917850477375</v>
      </c>
      <c r="K27" s="30">
        <v>6.300251428357484</v>
      </c>
    </row>
    <row r="28" spans="1:11" ht="30" x14ac:dyDescent="0.25">
      <c r="A28" s="16" t="s">
        <v>91</v>
      </c>
      <c r="B28" s="17">
        <v>86547</v>
      </c>
      <c r="C28" s="17">
        <v>84452</v>
      </c>
      <c r="D28" s="18">
        <f t="shared" si="4"/>
        <v>-2095</v>
      </c>
      <c r="E28" s="19">
        <v>-2.420650051417149</v>
      </c>
      <c r="F28" s="20"/>
      <c r="G28" s="21">
        <v>2324.5895906345027</v>
      </c>
      <c r="H28" s="31">
        <v>2.7275866775772299</v>
      </c>
      <c r="I28" s="32"/>
      <c r="J28" s="23">
        <f t="shared" si="5"/>
        <v>1609.2187351981122</v>
      </c>
      <c r="K28" s="30">
        <v>1.9054832747573913</v>
      </c>
    </row>
    <row r="29" spans="1:11" x14ac:dyDescent="0.25">
      <c r="A29" s="16" t="s">
        <v>92</v>
      </c>
      <c r="B29" s="17">
        <v>8632</v>
      </c>
      <c r="C29" s="17">
        <v>10458</v>
      </c>
      <c r="D29" s="18">
        <f t="shared" si="4"/>
        <v>1826</v>
      </c>
      <c r="E29" s="19">
        <v>21.153846153846153</v>
      </c>
      <c r="F29" s="20"/>
      <c r="G29" s="21">
        <v>-208.79741067109947</v>
      </c>
      <c r="H29" s="22">
        <v>-2.0096726335445299</v>
      </c>
      <c r="I29" s="20"/>
      <c r="J29" s="23">
        <f t="shared" si="5"/>
        <v>1112.3518240563897</v>
      </c>
      <c r="K29" s="30">
        <v>10.636372385316406</v>
      </c>
    </row>
    <row r="30" spans="1:11" ht="30" x14ac:dyDescent="0.25">
      <c r="A30" s="16" t="s">
        <v>93</v>
      </c>
      <c r="B30" s="17">
        <v>21519</v>
      </c>
      <c r="C30" s="17">
        <v>25297</v>
      </c>
      <c r="D30" s="18">
        <f t="shared" si="4"/>
        <v>3778</v>
      </c>
      <c r="E30" s="19">
        <v>17.556577907895349</v>
      </c>
      <c r="F30" s="20"/>
      <c r="G30" s="21">
        <v>2166.8758043885996</v>
      </c>
      <c r="H30" s="22">
        <v>9.3234655451952495</v>
      </c>
      <c r="I30" s="20"/>
      <c r="J30" s="23">
        <f t="shared" si="5"/>
        <v>1107.336470578176</v>
      </c>
      <c r="K30" s="30">
        <v>4.3773430469153496</v>
      </c>
    </row>
    <row r="31" spans="1:11" x14ac:dyDescent="0.25">
      <c r="A31" s="16" t="s">
        <v>94</v>
      </c>
      <c r="B31" s="17">
        <v>39490</v>
      </c>
      <c r="C31" s="17">
        <v>48138</v>
      </c>
      <c r="D31" s="18">
        <f t="shared" si="4"/>
        <v>8648</v>
      </c>
      <c r="E31" s="19">
        <v>21.899214991136997</v>
      </c>
      <c r="F31" s="20"/>
      <c r="G31" s="21">
        <v>13230.830938544201</v>
      </c>
      <c r="H31" s="22">
        <v>27.1998701761608</v>
      </c>
      <c r="I31" s="20"/>
      <c r="J31" s="23">
        <f t="shared" si="5"/>
        <v>-1482.1502077633279</v>
      </c>
      <c r="K31" s="30">
        <v>-3.0789609201947066</v>
      </c>
    </row>
    <row r="32" spans="1:11" ht="30" x14ac:dyDescent="0.25">
      <c r="A32" s="16" t="s">
        <v>95</v>
      </c>
      <c r="B32" s="17">
        <v>9041</v>
      </c>
      <c r="C32" s="17">
        <v>7921</v>
      </c>
      <c r="D32" s="18">
        <f t="shared" si="4"/>
        <v>-1120</v>
      </c>
      <c r="E32" s="19">
        <v>-12.388010175865501</v>
      </c>
      <c r="F32" s="20"/>
      <c r="G32" s="21">
        <v>31.408345084360079</v>
      </c>
      <c r="H32" s="22">
        <v>0.36545648905497802</v>
      </c>
      <c r="I32" s="20"/>
      <c r="J32" s="23">
        <f t="shared" si="5"/>
        <v>-243.88449448862272</v>
      </c>
      <c r="K32" s="30">
        <v>-3.0789609201947066</v>
      </c>
    </row>
    <row r="33" spans="1:11" ht="15.75" thickBot="1" x14ac:dyDescent="0.3">
      <c r="A33" s="16" t="s">
        <v>96</v>
      </c>
      <c r="B33" s="17">
        <v>134464</v>
      </c>
      <c r="C33" s="17">
        <v>117023</v>
      </c>
      <c r="D33" s="18">
        <f t="shared" si="4"/>
        <v>-17441</v>
      </c>
      <c r="E33" s="19">
        <v>-12.970757972394098</v>
      </c>
      <c r="F33" s="20"/>
      <c r="G33" s="21">
        <v>-11325.243393899002</v>
      </c>
      <c r="H33" s="22">
        <v>-9.5703725094202099</v>
      </c>
      <c r="I33" s="20"/>
      <c r="J33" s="23">
        <f t="shared" si="5"/>
        <v>-3603.0924376394514</v>
      </c>
      <c r="K33" s="30">
        <v>-3.0789609201947066</v>
      </c>
    </row>
    <row r="34" spans="1:11" ht="15.75" thickBot="1" x14ac:dyDescent="0.3">
      <c r="A34" s="70" t="s">
        <v>97</v>
      </c>
      <c r="B34" s="71"/>
      <c r="C34" s="71"/>
      <c r="D34" s="71"/>
      <c r="E34" s="71"/>
      <c r="F34" s="71"/>
      <c r="G34" s="71"/>
      <c r="H34" s="71"/>
      <c r="I34" s="71"/>
      <c r="J34" s="71"/>
      <c r="K34" s="72"/>
    </row>
    <row r="35" spans="1:11" ht="90" x14ac:dyDescent="0.25">
      <c r="A35" s="25" t="s">
        <v>59</v>
      </c>
      <c r="B35" s="26" t="s">
        <v>60</v>
      </c>
      <c r="C35" s="26" t="s">
        <v>61</v>
      </c>
      <c r="D35" s="11" t="s">
        <v>62</v>
      </c>
      <c r="E35" s="11" t="s">
        <v>63</v>
      </c>
      <c r="F35" s="26"/>
      <c r="G35" s="1" t="s">
        <v>64</v>
      </c>
      <c r="H35" s="1" t="s">
        <v>65</v>
      </c>
      <c r="I35" s="27"/>
      <c r="J35" s="28" t="s">
        <v>66</v>
      </c>
      <c r="K35" s="29" t="s">
        <v>67</v>
      </c>
    </row>
    <row r="36" spans="1:11" ht="30" x14ac:dyDescent="0.25">
      <c r="A36" s="16" t="s">
        <v>98</v>
      </c>
      <c r="B36" s="17">
        <v>22017</v>
      </c>
      <c r="C36" s="17">
        <v>25978</v>
      </c>
      <c r="D36" s="18">
        <f t="shared" ref="D36:D46" si="6">C36-B36</f>
        <v>3961</v>
      </c>
      <c r="E36" s="19">
        <v>17.990643593586775</v>
      </c>
      <c r="F36" s="20"/>
      <c r="G36" s="21">
        <v>957.09378226510114</v>
      </c>
      <c r="H36" s="22">
        <v>3.6680491892827298</v>
      </c>
      <c r="I36" s="20"/>
      <c r="J36" s="23">
        <f t="shared" ref="J36:J46" si="7">(K36/100)*C36</f>
        <v>-254.44335838911422</v>
      </c>
      <c r="K36" s="30">
        <v>-0.9794570728659413</v>
      </c>
    </row>
    <row r="37" spans="1:11" ht="30" x14ac:dyDescent="0.25">
      <c r="A37" s="16" t="s">
        <v>99</v>
      </c>
      <c r="B37" s="17">
        <v>7191</v>
      </c>
      <c r="C37" s="17">
        <v>6359</v>
      </c>
      <c r="D37" s="18">
        <f t="shared" si="6"/>
        <v>-832</v>
      </c>
      <c r="E37" s="19">
        <v>-11.570018078153248</v>
      </c>
      <c r="F37" s="20"/>
      <c r="G37" s="21">
        <v>-50.751260430629941</v>
      </c>
      <c r="H37" s="22">
        <v>-0.76293585231415895</v>
      </c>
      <c r="I37" s="20"/>
      <c r="J37" s="23">
        <f t="shared" si="7"/>
        <v>-62.283675263545206</v>
      </c>
      <c r="K37" s="30">
        <v>-0.9794570728659413</v>
      </c>
    </row>
    <row r="38" spans="1:11" ht="30" x14ac:dyDescent="0.25">
      <c r="A38" s="16" t="s">
        <v>100</v>
      </c>
      <c r="B38" s="17">
        <v>25165</v>
      </c>
      <c r="C38" s="17">
        <v>24407</v>
      </c>
      <c r="D38" s="18">
        <f t="shared" si="6"/>
        <v>-758</v>
      </c>
      <c r="E38" s="19">
        <v>-3.0121200079475461</v>
      </c>
      <c r="F38" s="20"/>
      <c r="G38" s="21">
        <v>244.09553513580207</v>
      </c>
      <c r="H38" s="22">
        <v>0.997814058104456</v>
      </c>
      <c r="I38" s="20"/>
      <c r="J38" s="23">
        <f t="shared" si="7"/>
        <v>-239.05608777439031</v>
      </c>
      <c r="K38" s="30">
        <v>-0.9794570728659413</v>
      </c>
    </row>
    <row r="39" spans="1:11" ht="30" x14ac:dyDescent="0.25">
      <c r="A39" s="16" t="s">
        <v>101</v>
      </c>
      <c r="B39" s="17">
        <v>7792</v>
      </c>
      <c r="C39" s="17">
        <v>8732</v>
      </c>
      <c r="D39" s="18">
        <f t="shared" si="6"/>
        <v>940</v>
      </c>
      <c r="E39" s="19">
        <v>12.06365503080082</v>
      </c>
      <c r="F39" s="20"/>
      <c r="G39" s="21">
        <v>19.774785123180649</v>
      </c>
      <c r="H39" s="22">
        <v>0.224252436117054</v>
      </c>
      <c r="I39" s="20"/>
      <c r="J39" s="23">
        <f t="shared" si="7"/>
        <v>-85.526191602653995</v>
      </c>
      <c r="K39" s="30">
        <v>-0.9794570728659413</v>
      </c>
    </row>
    <row r="40" spans="1:11" ht="30" x14ac:dyDescent="0.25">
      <c r="A40" s="16" t="s">
        <v>102</v>
      </c>
      <c r="B40" s="17">
        <v>3442</v>
      </c>
      <c r="C40" s="17">
        <v>3846</v>
      </c>
      <c r="D40" s="18">
        <f t="shared" si="6"/>
        <v>404</v>
      </c>
      <c r="E40" s="19">
        <v>11.737361998837885</v>
      </c>
      <c r="F40" s="20"/>
      <c r="G40" s="21">
        <v>-207.22672151706024</v>
      </c>
      <c r="H40" s="22">
        <v>-5.7345846076054299</v>
      </c>
      <c r="I40" s="20"/>
      <c r="J40" s="23">
        <f t="shared" si="7"/>
        <v>-34.062590070250543</v>
      </c>
      <c r="K40" s="30">
        <v>-0.88566276833724755</v>
      </c>
    </row>
    <row r="41" spans="1:11" ht="30" x14ac:dyDescent="0.25">
      <c r="A41" s="16" t="s">
        <v>103</v>
      </c>
      <c r="B41" s="17">
        <v>17572</v>
      </c>
      <c r="C41" s="17">
        <v>18192</v>
      </c>
      <c r="D41" s="18">
        <f t="shared" si="6"/>
        <v>620</v>
      </c>
      <c r="E41" s="19">
        <v>3.5283405417709996</v>
      </c>
      <c r="F41" s="20"/>
      <c r="G41" s="21">
        <v>208.37047177590051</v>
      </c>
      <c r="H41" s="22">
        <v>1.1815487799623099</v>
      </c>
      <c r="I41" s="20"/>
      <c r="J41" s="23">
        <f t="shared" si="7"/>
        <v>-41.746080539471492</v>
      </c>
      <c r="K41" s="30">
        <v>-0.22947493700237187</v>
      </c>
    </row>
    <row r="42" spans="1:11" x14ac:dyDescent="0.25">
      <c r="A42" s="16" t="s">
        <v>104</v>
      </c>
      <c r="B42" s="17">
        <v>27341.077804565401</v>
      </c>
      <c r="C42" s="17">
        <v>27826</v>
      </c>
      <c r="D42" s="18">
        <f t="shared" si="6"/>
        <v>484.92219543459942</v>
      </c>
      <c r="E42" s="19">
        <v>1.7736030704452601</v>
      </c>
      <c r="F42" s="20"/>
      <c r="G42" s="21">
        <v>429.75796206719963</v>
      </c>
      <c r="H42" s="22">
        <v>1.57926177341339</v>
      </c>
      <c r="I42" s="20"/>
      <c r="J42" s="23">
        <f t="shared" si="7"/>
        <v>-1055.7807058411433</v>
      </c>
      <c r="K42" s="30">
        <v>-3.7942237685658853</v>
      </c>
    </row>
    <row r="43" spans="1:11" x14ac:dyDescent="0.25">
      <c r="A43" s="16" t="s">
        <v>105</v>
      </c>
      <c r="B43" s="17">
        <v>39716</v>
      </c>
      <c r="C43" s="17">
        <v>38262</v>
      </c>
      <c r="D43" s="18">
        <f t="shared" si="6"/>
        <v>-1454</v>
      </c>
      <c r="E43" s="19">
        <v>-3.6609930506596839</v>
      </c>
      <c r="F43" s="20"/>
      <c r="G43" s="21">
        <v>155.60173464649552</v>
      </c>
      <c r="H43" s="22">
        <v>0.40183659946551897</v>
      </c>
      <c r="I43" s="20"/>
      <c r="J43" s="23">
        <f t="shared" si="7"/>
        <v>-87.801700395847519</v>
      </c>
      <c r="K43" s="30">
        <v>-0.22947493700237187</v>
      </c>
    </row>
    <row r="44" spans="1:11" x14ac:dyDescent="0.25">
      <c r="A44" s="16" t="s">
        <v>106</v>
      </c>
      <c r="B44" s="17">
        <v>28824</v>
      </c>
      <c r="C44" s="17">
        <v>31338</v>
      </c>
      <c r="D44" s="18">
        <f t="shared" si="6"/>
        <v>2514</v>
      </c>
      <c r="E44" s="19">
        <v>8.7218984179850114</v>
      </c>
      <c r="F44" s="20"/>
      <c r="G44" s="21">
        <v>1919.1022974674966</v>
      </c>
      <c r="H44" s="22">
        <v>6.2127701145143499</v>
      </c>
      <c r="I44" s="20"/>
      <c r="J44" s="23">
        <f t="shared" si="7"/>
        <v>-262.23941396008144</v>
      </c>
      <c r="K44" s="30">
        <v>-0.83680966864535522</v>
      </c>
    </row>
    <row r="45" spans="1:11" x14ac:dyDescent="0.25">
      <c r="A45" s="16" t="s">
        <v>107</v>
      </c>
      <c r="B45" s="17">
        <v>36045</v>
      </c>
      <c r="C45" s="17">
        <v>35249</v>
      </c>
      <c r="D45" s="18">
        <f t="shared" si="6"/>
        <v>-796</v>
      </c>
      <c r="E45" s="19">
        <v>-2.2083506727701483</v>
      </c>
      <c r="F45" s="20"/>
      <c r="G45" s="21">
        <v>-3430.4756031723045</v>
      </c>
      <c r="H45" s="22">
        <v>-9.6660311960563803</v>
      </c>
      <c r="I45" s="20"/>
      <c r="J45" s="23">
        <f t="shared" si="7"/>
        <v>440.9258761475221</v>
      </c>
      <c r="K45" s="30">
        <v>1.2508890355684477</v>
      </c>
    </row>
    <row r="46" spans="1:11" ht="15.75" thickBot="1" x14ac:dyDescent="0.3">
      <c r="A46" s="33" t="s">
        <v>108</v>
      </c>
      <c r="B46" s="34">
        <v>11457</v>
      </c>
      <c r="C46" s="34">
        <v>11640</v>
      </c>
      <c r="D46" s="35">
        <f t="shared" si="6"/>
        <v>183</v>
      </c>
      <c r="E46" s="36">
        <v>1.5972767740246137</v>
      </c>
      <c r="F46" s="37"/>
      <c r="G46" s="38">
        <v>-1749.0037935683099</v>
      </c>
      <c r="H46" s="39">
        <v>-15.0089521866858</v>
      </c>
      <c r="I46" s="37"/>
      <c r="J46" s="40">
        <f t="shared" si="7"/>
        <v>145.60348374016732</v>
      </c>
      <c r="K46" s="41">
        <v>1.2508890355684477</v>
      </c>
    </row>
    <row r="47" spans="1:11" ht="15.75" thickBot="1" x14ac:dyDescent="0.3"/>
    <row r="48" spans="1:11" ht="15.75" thickBot="1" x14ac:dyDescent="0.3">
      <c r="A48" s="70" t="s">
        <v>109</v>
      </c>
      <c r="B48" s="71"/>
      <c r="C48" s="71"/>
      <c r="D48" s="71"/>
      <c r="E48" s="71"/>
      <c r="F48" s="71"/>
      <c r="G48" s="71"/>
      <c r="H48" s="71"/>
      <c r="I48" s="71"/>
      <c r="J48" s="71"/>
      <c r="K48" s="72"/>
    </row>
    <row r="49" spans="1:11" ht="90.75" thickBot="1" x14ac:dyDescent="0.3">
      <c r="A49" s="42" t="s">
        <v>59</v>
      </c>
      <c r="B49" s="43" t="s">
        <v>60</v>
      </c>
      <c r="C49" s="43" t="s">
        <v>61</v>
      </c>
      <c r="D49" s="44" t="s">
        <v>62</v>
      </c>
      <c r="E49" s="44" t="s">
        <v>63</v>
      </c>
      <c r="F49" s="43"/>
      <c r="G49" s="45" t="s">
        <v>64</v>
      </c>
      <c r="H49" s="45" t="s">
        <v>65</v>
      </c>
      <c r="I49" s="46"/>
      <c r="J49" s="47" t="s">
        <v>66</v>
      </c>
      <c r="K49" s="48" t="s">
        <v>67</v>
      </c>
    </row>
    <row r="50" spans="1:11" x14ac:dyDescent="0.25">
      <c r="A50" s="49" t="s">
        <v>110</v>
      </c>
      <c r="B50" s="50">
        <f>SUM(B3:B12,B15:B22,B25:B27)</f>
        <v>229519</v>
      </c>
      <c r="C50" s="50">
        <f>SUM(C3:C12,C15:C22,C25:C27)</f>
        <v>205217</v>
      </c>
      <c r="D50" s="50">
        <f>SUM(D3:D12,D15:D22,D25:D27)</f>
        <v>-24302</v>
      </c>
      <c r="E50" s="51">
        <f>D50/B50*100</f>
        <v>-10.588230168308506</v>
      </c>
      <c r="F50" s="52"/>
      <c r="G50" s="50">
        <f>SUM(G3:G12,G15:G22,G25:G27)</f>
        <v>-11989.511342085283</v>
      </c>
      <c r="H50" s="51">
        <f>G50/C50*100</f>
        <v>-5.8423577686474726</v>
      </c>
      <c r="I50" s="52"/>
      <c r="J50" s="50">
        <f>SUM(J3:J12,J15:J22,J25:J27)</f>
        <v>-3387.6330720578326</v>
      </c>
      <c r="K50" s="53">
        <f>J50/C50*100</f>
        <v>-1.6507565513860123</v>
      </c>
    </row>
    <row r="51" spans="1:11" x14ac:dyDescent="0.25">
      <c r="A51" s="54" t="s">
        <v>111</v>
      </c>
      <c r="B51" s="55">
        <f>SUM(B28:B33)</f>
        <v>299693</v>
      </c>
      <c r="C51" s="55">
        <f>SUM(C28:C33)</f>
        <v>293289</v>
      </c>
      <c r="D51" s="55">
        <f>SUM(D28:D33)</f>
        <v>-6404</v>
      </c>
      <c r="E51" s="56">
        <f>D51/B51*100</f>
        <v>-2.1368533799588243</v>
      </c>
      <c r="F51" s="20"/>
      <c r="G51" s="55">
        <f>SUM(G28:G33)</f>
        <v>6219.6638740815633</v>
      </c>
      <c r="H51" s="56">
        <f>G51/C51*100</f>
        <v>2.1206604659845967</v>
      </c>
      <c r="I51" s="20"/>
      <c r="J51" s="55">
        <f>SUM(J28:J33)</f>
        <v>-1500.220110058724</v>
      </c>
      <c r="K51" s="57">
        <f>J51/C51*100</f>
        <v>-0.51151598254920028</v>
      </c>
    </row>
    <row r="52" spans="1:11" x14ac:dyDescent="0.25">
      <c r="A52" s="54" t="s">
        <v>112</v>
      </c>
      <c r="B52" s="55">
        <f>SUM(B36:B46)</f>
        <v>226562.0778045654</v>
      </c>
      <c r="C52" s="55">
        <f>SUM(C36:C46)</f>
        <v>231829</v>
      </c>
      <c r="D52" s="55">
        <f>SUM(D36:D46)</f>
        <v>5266.9221954345994</v>
      </c>
      <c r="E52" s="56">
        <f>D52/B52*100</f>
        <v>2.3247148183280242</v>
      </c>
      <c r="F52" s="20"/>
      <c r="G52" s="55">
        <f>SUM(G36:G46)</f>
        <v>-1503.6608102071286</v>
      </c>
      <c r="H52" s="56">
        <f>G52/C52*100</f>
        <v>-0.64860772819928858</v>
      </c>
      <c r="I52" s="20"/>
      <c r="J52" s="55">
        <f>SUM(J36:J46)</f>
        <v>-1536.4104439488085</v>
      </c>
      <c r="K52" s="57">
        <f>J52/C52*100</f>
        <v>-0.66273436194298752</v>
      </c>
    </row>
    <row r="53" spans="1:11" x14ac:dyDescent="0.25">
      <c r="A53" s="58"/>
      <c r="B53" s="20"/>
      <c r="C53" s="20"/>
      <c r="D53" s="20"/>
      <c r="E53" s="59"/>
      <c r="F53" s="20"/>
      <c r="G53" s="20"/>
      <c r="H53" s="59"/>
      <c r="I53" s="20"/>
      <c r="J53" s="20"/>
      <c r="K53" s="60"/>
    </row>
    <row r="54" spans="1:11" x14ac:dyDescent="0.25">
      <c r="A54" s="54" t="s">
        <v>113</v>
      </c>
      <c r="B54" s="55">
        <f>SUM(B50:B51)</f>
        <v>529212</v>
      </c>
      <c r="C54" s="55">
        <f>SUM(C50:C51)</f>
        <v>498506</v>
      </c>
      <c r="D54" s="55">
        <f>SUM(D50:D51)</f>
        <v>-30706</v>
      </c>
      <c r="E54" s="56">
        <f>D54/B54*100</f>
        <v>-5.8022115900622051</v>
      </c>
      <c r="F54" s="20"/>
      <c r="G54" s="55">
        <f>SUM(G50:G51)</f>
        <v>-5769.8474680037198</v>
      </c>
      <c r="H54" s="56">
        <f>G54/C54*100</f>
        <v>-1.1574278881304778</v>
      </c>
      <c r="I54" s="20"/>
      <c r="J54" s="55">
        <f>SUM(J50:J51)</f>
        <v>-4887.8531821165561</v>
      </c>
      <c r="K54" s="57">
        <f>J54/C54*100</f>
        <v>-0.98050037153345326</v>
      </c>
    </row>
    <row r="55" spans="1:11" ht="15.75" thickBot="1" x14ac:dyDescent="0.3">
      <c r="A55" s="61" t="s">
        <v>114</v>
      </c>
      <c r="B55" s="62">
        <f>SUM(B50:B52)</f>
        <v>755774.07780456543</v>
      </c>
      <c r="C55" s="62">
        <f>SUM(C50:C52)</f>
        <v>730335</v>
      </c>
      <c r="D55" s="62">
        <f>SUM(D50:D52)</f>
        <v>-25439.077804565401</v>
      </c>
      <c r="E55" s="63">
        <f>D55/B55*100</f>
        <v>-3.3659632622572766</v>
      </c>
      <c r="F55" s="37"/>
      <c r="G55" s="62">
        <f>SUM(G50:G52)</f>
        <v>-7273.5082782108484</v>
      </c>
      <c r="H55" s="63">
        <f>G55/C55*100</f>
        <v>-0.99591396800247123</v>
      </c>
      <c r="I55" s="37"/>
      <c r="J55" s="62">
        <f>SUM(J50:J52)</f>
        <v>-6424.2636260653644</v>
      </c>
      <c r="K55" s="64">
        <f>J55/C55*100</f>
        <v>-0.87963244621514292</v>
      </c>
    </row>
    <row r="56" spans="1:11" ht="15.75" thickBot="1" x14ac:dyDescent="0.3"/>
    <row r="57" spans="1:11" ht="15.75" thickBot="1" x14ac:dyDescent="0.3">
      <c r="A57" s="70" t="s">
        <v>115</v>
      </c>
      <c r="B57" s="71"/>
      <c r="C57" s="71"/>
      <c r="D57" s="71"/>
      <c r="E57" s="71"/>
      <c r="F57" s="71"/>
      <c r="G57" s="71"/>
      <c r="H57" s="71"/>
      <c r="I57" s="71"/>
      <c r="J57" s="71"/>
      <c r="K57" s="72"/>
    </row>
    <row r="58" spans="1:11" ht="90.75" thickBot="1" x14ac:dyDescent="0.3">
      <c r="A58" s="42" t="s">
        <v>59</v>
      </c>
      <c r="B58" s="43" t="s">
        <v>60</v>
      </c>
      <c r="C58" s="43" t="s">
        <v>61</v>
      </c>
      <c r="D58" s="44" t="s">
        <v>62</v>
      </c>
      <c r="E58" s="44" t="s">
        <v>63</v>
      </c>
      <c r="F58" s="43"/>
      <c r="G58" s="45" t="s">
        <v>64</v>
      </c>
      <c r="H58" s="45" t="s">
        <v>65</v>
      </c>
      <c r="I58" s="46"/>
      <c r="J58" s="47" t="s">
        <v>66</v>
      </c>
      <c r="K58" s="48" t="s">
        <v>67</v>
      </c>
    </row>
    <row r="59" spans="1:11" x14ac:dyDescent="0.25">
      <c r="A59" s="65" t="s">
        <v>116</v>
      </c>
      <c r="B59" s="66">
        <f>SUM(B3:B12)</f>
        <v>83724</v>
      </c>
      <c r="C59" s="66">
        <f>SUM(C3:C12)</f>
        <v>72604</v>
      </c>
      <c r="D59" s="66">
        <f>SUM(D3:D12)</f>
        <v>-11120</v>
      </c>
      <c r="E59" s="67">
        <f>D59/B59*100</f>
        <v>-13.281735225263963</v>
      </c>
      <c r="F59" s="68"/>
      <c r="G59" s="66">
        <f>SUM(G3:G12)</f>
        <v>-4956.6057259177005</v>
      </c>
      <c r="H59" s="67">
        <f>G59/C59*100</f>
        <v>-6.8269044762240387</v>
      </c>
      <c r="I59" s="68"/>
      <c r="J59" s="66">
        <f>SUM(J3:J12)</f>
        <v>-1434.0330152185938</v>
      </c>
      <c r="K59" s="69">
        <f>J59/C59*100</f>
        <v>-1.9751432637576356</v>
      </c>
    </row>
    <row r="60" spans="1:11" x14ac:dyDescent="0.25">
      <c r="A60" s="54" t="s">
        <v>117</v>
      </c>
      <c r="B60" s="55">
        <f>SUM(B15:B16)</f>
        <v>55424</v>
      </c>
      <c r="C60" s="55">
        <f>SUM(C15:C16)</f>
        <v>47550</v>
      </c>
      <c r="D60" s="55">
        <f>SUM(D15:D16)</f>
        <v>-7874</v>
      </c>
      <c r="E60" s="56">
        <f>D60/B60*100</f>
        <v>-14.20684180138568</v>
      </c>
      <c r="F60" s="20"/>
      <c r="G60" s="55">
        <f>SUM(G15:G16)</f>
        <v>-2138.5892162826999</v>
      </c>
      <c r="H60" s="56">
        <f>G60/C60*100</f>
        <v>-4.4975588144746581</v>
      </c>
      <c r="I60" s="20"/>
      <c r="J60" s="55">
        <f>SUM(J15:J16)</f>
        <v>-851.15948299990555</v>
      </c>
      <c r="K60" s="57">
        <f>J60/C60*100</f>
        <v>-1.7900304584645754</v>
      </c>
    </row>
    <row r="61" spans="1:11" x14ac:dyDescent="0.25">
      <c r="A61" s="54" t="s">
        <v>118</v>
      </c>
      <c r="B61" s="55">
        <f>SUM(B17:B18)</f>
        <v>19277</v>
      </c>
      <c r="C61" s="55">
        <f>SUM(C17:C18)</f>
        <v>16337</v>
      </c>
      <c r="D61" s="55">
        <f>SUM(D17:D18)</f>
        <v>-2940</v>
      </c>
      <c r="E61" s="56">
        <f>D61/B61*100</f>
        <v>-15.251335788763813</v>
      </c>
      <c r="F61" s="20"/>
      <c r="G61" s="55">
        <f>SUM(G17:G18)</f>
        <v>-2397.3702269837904</v>
      </c>
      <c r="H61" s="56">
        <f>G61/C61*100</f>
        <v>-14.674482628290326</v>
      </c>
      <c r="I61" s="20"/>
      <c r="J61" s="55">
        <f>SUM(J17:J18)</f>
        <v>-639.22686884949155</v>
      </c>
      <c r="K61" s="57">
        <f>J61/C61*100</f>
        <v>-3.9127555172277133</v>
      </c>
    </row>
    <row r="62" spans="1:11" x14ac:dyDescent="0.25">
      <c r="A62" s="54" t="s">
        <v>119</v>
      </c>
      <c r="B62" s="55">
        <f>SUM(B19:B22)</f>
        <v>53718</v>
      </c>
      <c r="C62" s="55">
        <f>SUM(C19:C22)</f>
        <v>50443</v>
      </c>
      <c r="D62" s="55">
        <f>SUM(D19:D22)</f>
        <v>-3275</v>
      </c>
      <c r="E62" s="56">
        <f t="shared" ref="E62:E68" si="8">D62/B62*100</f>
        <v>-6.0966528910234929</v>
      </c>
      <c r="F62" s="20"/>
      <c r="G62" s="55">
        <f>SUM(G19:G22)</f>
        <v>-2110.5908972036</v>
      </c>
      <c r="H62" s="56">
        <f t="shared" ref="H62:H68" si="9">G62/C62*100</f>
        <v>-4.1841105747152234</v>
      </c>
      <c r="I62" s="20"/>
      <c r="J62" s="55">
        <f>SUM(J19:J22)</f>
        <v>-800.01296935316964</v>
      </c>
      <c r="K62" s="57">
        <f t="shared" ref="K62:K68" si="10">J62/C62*100</f>
        <v>-1.5859742072302789</v>
      </c>
    </row>
    <row r="63" spans="1:11" x14ac:dyDescent="0.25">
      <c r="A63" s="54" t="s">
        <v>120</v>
      </c>
      <c r="B63" s="55">
        <f>SUM(B25:B27)</f>
        <v>17376</v>
      </c>
      <c r="C63" s="55">
        <f>SUM(C25:C27)</f>
        <v>18283</v>
      </c>
      <c r="D63" s="55">
        <f>SUM(D25:D27)</f>
        <v>907</v>
      </c>
      <c r="E63" s="56">
        <f t="shared" si="8"/>
        <v>5.2198434622467778</v>
      </c>
      <c r="F63" s="20"/>
      <c r="G63" s="55">
        <f>SUM(G25:G27)</f>
        <v>-386.35527569748888</v>
      </c>
      <c r="H63" s="56">
        <f t="shared" si="9"/>
        <v>-2.1131940912185576</v>
      </c>
      <c r="I63" s="20"/>
      <c r="J63" s="55">
        <f>SUM(J25:J27)</f>
        <v>336.79926436332704</v>
      </c>
      <c r="K63" s="57">
        <f t="shared" si="10"/>
        <v>1.8421444202993329</v>
      </c>
    </row>
    <row r="64" spans="1:11" x14ac:dyDescent="0.25">
      <c r="A64" s="54" t="s">
        <v>121</v>
      </c>
      <c r="B64" s="55">
        <f>SUM(B28:B30)</f>
        <v>116698</v>
      </c>
      <c r="C64" s="55">
        <f>SUM(C28:C30)</f>
        <v>120207</v>
      </c>
      <c r="D64" s="55">
        <f>SUM(D28:D30)</f>
        <v>3509</v>
      </c>
      <c r="E64" s="56">
        <f t="shared" si="8"/>
        <v>3.006906716481859</v>
      </c>
      <c r="F64" s="20"/>
      <c r="G64" s="55">
        <f>SUM(G28:G30)</f>
        <v>4282.6679843520033</v>
      </c>
      <c r="H64" s="56">
        <f t="shared" si="9"/>
        <v>3.5627442531233648</v>
      </c>
      <c r="I64" s="20"/>
      <c r="J64" s="55">
        <f>SUM(J28:J30)</f>
        <v>3828.9070298326778</v>
      </c>
      <c r="K64" s="57">
        <f t="shared" si="10"/>
        <v>3.1852612824816178</v>
      </c>
    </row>
    <row r="65" spans="1:11" x14ac:dyDescent="0.25">
      <c r="A65" s="54" t="s">
        <v>122</v>
      </c>
      <c r="B65" s="55">
        <f>SUM(B31:B33)</f>
        <v>182995</v>
      </c>
      <c r="C65" s="55">
        <f>SUM(C31:C33)</f>
        <v>173082</v>
      </c>
      <c r="D65" s="55">
        <f>SUM(D31:D33)</f>
        <v>-9913</v>
      </c>
      <c r="E65" s="56">
        <f t="shared" si="8"/>
        <v>-5.4170878985764634</v>
      </c>
      <c r="F65" s="20"/>
      <c r="G65" s="55">
        <f>SUM(G31:G33)</f>
        <v>1936.9958897295601</v>
      </c>
      <c r="H65" s="56">
        <f t="shared" si="9"/>
        <v>1.119120353202274</v>
      </c>
      <c r="I65" s="20"/>
      <c r="J65" s="55">
        <f>SUM(J31:J33)</f>
        <v>-5329.1271398914023</v>
      </c>
      <c r="K65" s="57">
        <f t="shared" si="10"/>
        <v>-3.0789609201947066</v>
      </c>
    </row>
    <row r="66" spans="1:11" ht="30" x14ac:dyDescent="0.25">
      <c r="A66" s="54" t="s">
        <v>123</v>
      </c>
      <c r="B66" s="55">
        <f>SUM(B36:B42)</f>
        <v>110520.0778045654</v>
      </c>
      <c r="C66" s="55">
        <f>SUM(C36:C42)</f>
        <v>115340</v>
      </c>
      <c r="D66" s="55">
        <f>SUM(D36:D42)</f>
        <v>4819.9221954345994</v>
      </c>
      <c r="E66" s="56">
        <f t="shared" si="8"/>
        <v>4.3611281236679487</v>
      </c>
      <c r="F66" s="20"/>
      <c r="G66" s="55">
        <f>SUM(G36:G42)</f>
        <v>1601.1145544194937</v>
      </c>
      <c r="H66" s="56">
        <f t="shared" si="9"/>
        <v>1.3881693726543209</v>
      </c>
      <c r="I66" s="20"/>
      <c r="J66" s="55">
        <f>SUM(J36:J42)</f>
        <v>-1772.8986894805689</v>
      </c>
      <c r="K66" s="57">
        <f t="shared" si="10"/>
        <v>-1.5371065454140531</v>
      </c>
    </row>
    <row r="67" spans="1:11" x14ac:dyDescent="0.25">
      <c r="A67" s="54" t="s">
        <v>124</v>
      </c>
      <c r="B67" s="55">
        <f>SUM(B43:B44)</f>
        <v>68540</v>
      </c>
      <c r="C67" s="55">
        <f>SUM(C43:C44)</f>
        <v>69600</v>
      </c>
      <c r="D67" s="55">
        <f>SUM(D43:D44)</f>
        <v>1060</v>
      </c>
      <c r="E67" s="56">
        <f t="shared" si="8"/>
        <v>1.5465421651590312</v>
      </c>
      <c r="F67" s="20"/>
      <c r="G67" s="55">
        <f>SUM(G43:G44)</f>
        <v>2074.7040321139921</v>
      </c>
      <c r="H67" s="56">
        <f t="shared" si="9"/>
        <v>2.9808965978649309</v>
      </c>
      <c r="I67" s="20"/>
      <c r="J67" s="55">
        <f>SUM(J43:J44)</f>
        <v>-350.04111435592893</v>
      </c>
      <c r="K67" s="57">
        <f t="shared" si="10"/>
        <v>-0.50293263556886336</v>
      </c>
    </row>
    <row r="68" spans="1:11" ht="15.75" thickBot="1" x14ac:dyDescent="0.3">
      <c r="A68" s="61" t="s">
        <v>125</v>
      </c>
      <c r="B68" s="62">
        <f>SUM(B45:B46)</f>
        <v>47502</v>
      </c>
      <c r="C68" s="62">
        <f>SUM(C45:C46)</f>
        <v>46889</v>
      </c>
      <c r="D68" s="62">
        <f>SUM(D45:D46)</f>
        <v>-613</v>
      </c>
      <c r="E68" s="56">
        <f t="shared" si="8"/>
        <v>-1.2904719801271525</v>
      </c>
      <c r="F68" s="37"/>
      <c r="G68" s="62">
        <f>SUM(G45:G46)</f>
        <v>-5179.4793967406149</v>
      </c>
      <c r="H68" s="56">
        <f t="shared" si="9"/>
        <v>-11.046256897653214</v>
      </c>
      <c r="I68" s="37"/>
      <c r="J68" s="62">
        <f>SUM(J45:J46)</f>
        <v>586.52935988768945</v>
      </c>
      <c r="K68" s="57">
        <f t="shared" si="10"/>
        <v>1.2508890355684477</v>
      </c>
    </row>
  </sheetData>
  <mergeCells count="6">
    <mergeCell ref="A57:K57"/>
    <mergeCell ref="A1:K1"/>
    <mergeCell ref="A13:K13"/>
    <mergeCell ref="A23:K23"/>
    <mergeCell ref="A34:K34"/>
    <mergeCell ref="A48:K4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b316cf-c677-48ff-8034-b358636c19b3">
      <Terms xmlns="http://schemas.microsoft.com/office/infopath/2007/PartnerControls"/>
    </lcf76f155ced4ddcb4097134ff3c332f>
    <TaxCatchAll xmlns="d93e6fbb-7695-49c2-934c-4836be7ca1c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A7F8DF2D9F5B4BB16C13D80D533272" ma:contentTypeVersion="14" ma:contentTypeDescription="Create a new document." ma:contentTypeScope="" ma:versionID="0e6dff5ac91872f8d0bb62be8be2d6ed">
  <xsd:schema xmlns:xsd="http://www.w3.org/2001/XMLSchema" xmlns:xs="http://www.w3.org/2001/XMLSchema" xmlns:p="http://schemas.microsoft.com/office/2006/metadata/properties" xmlns:ns2="24b316cf-c677-48ff-8034-b358636c19b3" xmlns:ns3="d93e6fbb-7695-49c2-934c-4836be7ca1c9" targetNamespace="http://schemas.microsoft.com/office/2006/metadata/properties" ma:root="true" ma:fieldsID="dbea82c2ccd1fbbfa6cd68b1b4cc76ab" ns2:_="" ns3:_="">
    <xsd:import namespace="24b316cf-c677-48ff-8034-b358636c19b3"/>
    <xsd:import namespace="d93e6fbb-7695-49c2-934c-4836be7ca1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b316cf-c677-48ff-8034-b358636c19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24434b03-6174-4165-b1bd-5632f68db4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3e6fbb-7695-49c2-934c-4836be7ca1c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383e0f8-5d68-4814-89f0-427cec3aeb45}" ma:internalName="TaxCatchAll" ma:showField="CatchAllData" ma:web="d93e6fbb-7695-49c2-934c-4836be7ca1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D2F98D-FAB8-4BB7-B39A-5C133593D2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4FEFD1-EBD9-4FF1-B64A-B12A15BBE545}">
  <ds:schemaRefs>
    <ds:schemaRef ds:uri="http://schemas.microsoft.com/office/2006/metadata/properties"/>
    <ds:schemaRef ds:uri="http://schemas.microsoft.com/office/infopath/2007/PartnerControls"/>
    <ds:schemaRef ds:uri="24b316cf-c677-48ff-8034-b358636c19b3"/>
    <ds:schemaRef ds:uri="d93e6fbb-7695-49c2-934c-4836be7ca1c9"/>
  </ds:schemaRefs>
</ds:datastoreItem>
</file>

<file path=customXml/itemProps3.xml><?xml version="1.0" encoding="utf-8"?>
<ds:datastoreItem xmlns:ds="http://schemas.openxmlformats.org/officeDocument/2006/customXml" ds:itemID="{3B7C5F2B-A433-4B78-B616-576549273D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b316cf-c677-48ff-8034-b358636c19b3"/>
    <ds:schemaRef ds:uri="d93e6fbb-7695-49c2-934c-4836be7ca1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BEA_detailed_IO</vt:lpstr>
      <vt:lpstr>MI_emp_trend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Vasilauskas</dc:creator>
  <cp:lastModifiedBy>Erik Vasilauskas</cp:lastModifiedBy>
  <dcterms:created xsi:type="dcterms:W3CDTF">2025-10-09T20:04:54Z</dcterms:created>
  <dcterms:modified xsi:type="dcterms:W3CDTF">2025-10-24T15:25:39Z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0x01010058A7F8DF2D9F5B4BB16C13D80D533272</vt:lpwstr>
  </property>
  <property fmtid="{D5CDD505-2E9C-101B-9397-08002B2CF9AE}" pid="3" name="MediaServiceImageTags">
    <vt:lpwstr/>
  </property>
</Properties>
</file>