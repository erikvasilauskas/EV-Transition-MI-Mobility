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auskas\GitHub\EV-Transition\data\processed\sam_auto_dashboard_2025_Q1\custom_table_output\"/>
    </mc:Choice>
  </mc:AlternateContent>
  <xr:revisionPtr revIDLastSave="0" documentId="13_ncr:1_{1E742549-2D6B-4145-B461-E787E9B3BBCF}" xr6:coauthVersionLast="47" xr6:coauthVersionMax="47" xr10:uidLastSave="{00000000-0000-0000-0000-000000000000}"/>
  <bookViews>
    <workbookView xWindow="0" yWindow="360" windowWidth="29040" windowHeight="15720" firstSheet="1" activeTab="1" xr2:uid="{00000000-000D-0000-FFFF-FFFF00000000}"/>
  </bookViews>
  <sheets>
    <sheet name="Segments" sheetId="1" r:id="rId1"/>
    <sheet name="St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1" i="1"/>
  <c r="C31" i="1"/>
  <c r="B31" i="1"/>
  <c r="F14" i="1"/>
  <c r="E14" i="1"/>
  <c r="D14" i="1"/>
  <c r="C14" i="1"/>
  <c r="B14" i="1"/>
  <c r="E8" i="2"/>
  <c r="D8" i="2"/>
  <c r="C8" i="2"/>
  <c r="B8" i="2"/>
</calcChain>
</file>

<file path=xl/sharedStrings.xml><?xml version="1.0" encoding="utf-8"?>
<sst xmlns="http://schemas.openxmlformats.org/spreadsheetml/2006/main" count="47" uniqueCount="26">
  <si>
    <t>Δ employment_auto Moody's MI detail 2025-2030</t>
  </si>
  <si>
    <t>Δ employment_auto Moody's MI CAGR 2025-2030</t>
  </si>
  <si>
    <t>Δ employment_auto BLS US 2025-2030</t>
  </si>
  <si>
    <t>Δ employment_auto DTMB MI 2025-2030</t>
  </si>
  <si>
    <t>1. Materials &amp; Processing</t>
  </si>
  <si>
    <t>10. Logistics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</si>
  <si>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</si>
  <si>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</si>
  <si>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</si>
  <si>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</si>
  <si>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</si>
  <si>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</si>
  <si>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</si>
  <si>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</si>
  <si>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Upstream + Core/OEM</t>
  </si>
  <si>
    <t>Downstream</t>
  </si>
  <si>
    <t>OEM</t>
  </si>
  <si>
    <t>Upstream</t>
  </si>
  <si>
    <t>Total</t>
  </si>
  <si>
    <t>Employment, Auto 2025</t>
  </si>
  <si>
    <t>Stage</t>
  </si>
  <si>
    <t>Segment</t>
  </si>
  <si>
    <t>Employment Change, 2025-2030</t>
  </si>
  <si>
    <t>Moody's MI</t>
  </si>
  <si>
    <t>BLS US</t>
  </si>
  <si>
    <t>DTMB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</si>
</sst>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2" xfId="0" applyFont="1" applyFill="1" applyBorder="1"/>
    <xf numFmtId="0" fontId="0" fillId="0" borderId="4" xfId="0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5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0" borderId="1" xfId="0" applyBorder="1"/>
    <xf numFmtId="3" fontId="0" fillId="0" borderId="2" xfId="0" applyNumberFormat="1" applyBorder="1"/>
    <xf numFmtId="3" fontId="0" fillId="0" borderId="3" xfId="0" applyNumberFormat="1" applyBorder="1"/>
    <xf numFmtId="0" fontId="0" fillId="0" borderId="6" xfId="0" applyBorder="1"/>
    <xf numFmtId="0" fontId="0" fillId="0" borderId="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9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4" xfId="0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0" fontId="1" fillId="0" borderId="7" xfId="0" applyFont="1" applyFill="1" applyBorder="1"/>
    <xf numFmtId="3" fontId="1" fillId="0" borderId="8" xfId="0" applyNumberFormat="1" applyFont="1" applyBorder="1"/>
    <xf numFmtId="3" fontId="1" fillId="0" borderId="9" xfId="0" applyNumberFormat="1" applyFont="1" applyBorder="1"/>
    <xf numFmtId="3" fontId="1" fillId="0" borderId="2" xfId="0" applyNumberFormat="1" applyFont="1" applyBorder="1"/>
    <xf numFmtId="3" fontId="1" fillId="0" borderId="3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A17" sqref="A17:E31"/>
    </sheetView>
  </sheetViews>
  <sheetFormatPr defaultRowHeight="15" x14ac:dyDescent="0.25"/>
  <cols>
    <col min="1" max="1" width="28.7109375" customWidth="1"/>
    <col min="2" max="2" width="24.7109375" customWidth="1"/>
    <col min="3" max="6" width="18.7109375" customWidth="1"/>
  </cols>
  <sheetData>
    <row r="1" spans="1:6" ht="15.75" thickBot="1" x14ac:dyDescent="0.3">
      <c r="A1" s="9" t="s">
        <v>21</v>
      </c>
      <c r="B1" s="1" t="s">
        <v>19</v>
      </c>
      <c r="C1" s="10" t="s">
        <v>0</v>
      </c>
      <c r="D1" s="10" t="s">
        <v>1</v>
      </c>
      <c r="E1" s="10" t="s">
        <v>2</v>
      </c>
      <c r="F1" s="11" t="s">
        <v>3</v>
      </c>
    </row>
    <row r="2" spans="1:6" x14ac:dyDescent="0.25">
      <c r="A2" s="12" t="s">
        <v>4</v>
      </c>
      <c r="B2" s="13">
        <v>20928.031757707271</v>
      </c>
      <c r="C2" s="13">
        <v>-1081.3330427353389</v>
      </c>
      <c r="D2" s="13">
        <v>-1318.236612005687</v>
      </c>
      <c r="E2" s="13">
        <v>110.6475895259791</v>
      </c>
      <c r="F2" s="14">
        <v>-368.7371842450375</v>
      </c>
    </row>
    <row r="3" spans="1:6" x14ac:dyDescent="0.25">
      <c r="A3" s="2" t="s">
        <v>6</v>
      </c>
      <c r="B3" s="3">
        <v>6089.0700130668674</v>
      </c>
      <c r="C3" s="3">
        <v>17.232429679665071</v>
      </c>
      <c r="D3" s="3">
        <v>-108.74355177491729</v>
      </c>
      <c r="E3" s="3">
        <v>-63.590031111143617</v>
      </c>
      <c r="F3" s="4">
        <v>-91.474022758298815</v>
      </c>
    </row>
    <row r="4" spans="1:6" x14ac:dyDescent="0.25">
      <c r="A4" s="2" t="s">
        <v>7</v>
      </c>
      <c r="B4" s="3">
        <v>8874.5536817092743</v>
      </c>
      <c r="C4" s="3">
        <v>-1246.759581817736</v>
      </c>
      <c r="D4" s="3">
        <v>-1316.59722711072</v>
      </c>
      <c r="E4" s="3">
        <v>-606.32179281199387</v>
      </c>
      <c r="F4" s="4">
        <v>-314.06010854555461</v>
      </c>
    </row>
    <row r="5" spans="1:6" x14ac:dyDescent="0.25">
      <c r="A5" s="2" t="s">
        <v>8</v>
      </c>
      <c r="B5" s="3">
        <v>14602.465964852339</v>
      </c>
      <c r="C5" s="3">
        <v>-461.01579537869662</v>
      </c>
      <c r="D5" s="3">
        <v>-597.89137667429168</v>
      </c>
      <c r="E5" s="3">
        <v>-170.78520834203479</v>
      </c>
      <c r="F5" s="4">
        <v>-223.82965964976029</v>
      </c>
    </row>
    <row r="6" spans="1:6" x14ac:dyDescent="0.25">
      <c r="A6" s="2" t="s">
        <v>9</v>
      </c>
      <c r="B6" s="3">
        <v>5948.0511756816686</v>
      </c>
      <c r="C6" s="3">
        <v>-85.591740758865853</v>
      </c>
      <c r="D6" s="3">
        <v>-93.132665777348848</v>
      </c>
      <c r="E6" s="3">
        <v>236.79635328964099</v>
      </c>
      <c r="F6" s="4">
        <v>71.963542227959806</v>
      </c>
    </row>
    <row r="7" spans="1:6" x14ac:dyDescent="0.25">
      <c r="A7" s="2" t="s">
        <v>10</v>
      </c>
      <c r="B7" s="3">
        <v>1012.884668579939</v>
      </c>
      <c r="C7" s="3">
        <v>27.769641043354341</v>
      </c>
      <c r="D7" s="3">
        <v>12.49068975850969</v>
      </c>
      <c r="E7" s="3">
        <v>20.792590588044732</v>
      </c>
      <c r="F7" s="4">
        <v>42.731121653767332</v>
      </c>
    </row>
    <row r="8" spans="1:6" x14ac:dyDescent="0.25">
      <c r="A8" s="2" t="s">
        <v>11</v>
      </c>
      <c r="B8" s="3">
        <v>166447</v>
      </c>
      <c r="C8" s="3">
        <v>6714.8874805454689</v>
      </c>
      <c r="D8" s="3">
        <v>1171.6661827799689</v>
      </c>
      <c r="E8" s="3">
        <v>-12052.711266482251</v>
      </c>
      <c r="F8" s="4">
        <v>-4311.1250659881043</v>
      </c>
    </row>
    <row r="9" spans="1:6" x14ac:dyDescent="0.25">
      <c r="A9" s="2" t="s">
        <v>12</v>
      </c>
      <c r="B9" s="3">
        <v>116571</v>
      </c>
      <c r="C9" s="3">
        <v>631.50964481616393</v>
      </c>
      <c r="D9" s="3">
        <v>1378.862947420042</v>
      </c>
      <c r="E9" s="3">
        <v>-458.3459288787999</v>
      </c>
      <c r="F9" s="4">
        <v>-1516.5066908724839</v>
      </c>
    </row>
    <row r="10" spans="1:6" x14ac:dyDescent="0.25">
      <c r="A10" s="2" t="s">
        <v>13</v>
      </c>
      <c r="B10" s="3">
        <v>72444</v>
      </c>
      <c r="C10" s="3">
        <v>1073.834184328065</v>
      </c>
      <c r="D10" s="3">
        <v>1782.835600903825</v>
      </c>
      <c r="E10" s="3">
        <v>777.98682993560215</v>
      </c>
      <c r="F10" s="4">
        <v>-281.21417735193972</v>
      </c>
    </row>
    <row r="11" spans="1:6" x14ac:dyDescent="0.25">
      <c r="A11" s="2" t="s">
        <v>5</v>
      </c>
      <c r="B11" s="3">
        <v>45205</v>
      </c>
      <c r="C11" s="3">
        <v>-5077.7954031646304</v>
      </c>
      <c r="D11" s="3">
        <v>-4163.5001320415467</v>
      </c>
      <c r="E11" s="3">
        <v>301.16637791742693</v>
      </c>
      <c r="F11" s="4">
        <v>489.19296582644171</v>
      </c>
    </row>
    <row r="12" spans="1:6" x14ac:dyDescent="0.25">
      <c r="A12" s="2"/>
      <c r="B12" s="8"/>
      <c r="C12" s="8"/>
      <c r="D12" s="8"/>
      <c r="E12" s="8"/>
      <c r="F12" s="15"/>
    </row>
    <row r="13" spans="1:6" x14ac:dyDescent="0.25">
      <c r="A13" s="2" t="s">
        <v>14</v>
      </c>
      <c r="B13" s="3">
        <v>223902.05726159739</v>
      </c>
      <c r="C13" s="3">
        <v>3885.189390577842</v>
      </c>
      <c r="D13" s="3">
        <v>-2250.4445608045212</v>
      </c>
      <c r="E13" s="3">
        <v>-12525.17176534375</v>
      </c>
      <c r="F13" s="4">
        <v>-5194.5313773050439</v>
      </c>
    </row>
    <row r="14" spans="1:6" ht="15.75" thickBot="1" x14ac:dyDescent="0.3">
      <c r="A14" s="16" t="s">
        <v>18</v>
      </c>
      <c r="B14" s="6">
        <f>SUM(B2:B11)</f>
        <v>458122.05726159737</v>
      </c>
      <c r="C14" s="6">
        <f>SUM(C2:C11)</f>
        <v>512.73781655744915</v>
      </c>
      <c r="D14" s="6">
        <f>SUM(D2:D11)</f>
        <v>-3252.2461445221661</v>
      </c>
      <c r="E14" s="6">
        <f>SUM(E2:E11)</f>
        <v>-11904.36448636953</v>
      </c>
      <c r="F14" s="7">
        <f>SUM(F2:F11)</f>
        <v>-6503.0592797030104</v>
      </c>
    </row>
    <row r="16" spans="1:6" ht="15.75" thickBot="1" x14ac:dyDescent="0.3"/>
    <row r="17" spans="1:5" ht="15.75" thickBot="1" x14ac:dyDescent="0.3">
      <c r="A17" s="20" t="s">
        <v>21</v>
      </c>
      <c r="B17" s="20" t="s">
        <v>19</v>
      </c>
      <c r="C17" s="21" t="s">
        <v>22</v>
      </c>
      <c r="D17" s="21"/>
      <c r="E17" s="22"/>
    </row>
    <row r="18" spans="1:5" ht="15.75" thickBot="1" x14ac:dyDescent="0.3">
      <c r="A18" s="23"/>
      <c r="B18" s="23"/>
      <c r="C18" s="27" t="s">
        <v>23</v>
      </c>
      <c r="D18" s="28" t="s">
        <v>24</v>
      </c>
      <c r="E18" s="29" t="s">
        <v>25</v>
      </c>
    </row>
    <row r="19" spans="1:5" x14ac:dyDescent="0.25">
      <c r="A19" s="12" t="s">
        <v>4</v>
      </c>
      <c r="B19" s="13">
        <v>20928.031757707271</v>
      </c>
      <c r="C19" s="13">
        <v>-1318.236612005687</v>
      </c>
      <c r="D19" s="13">
        <v>110.6475895259791</v>
      </c>
      <c r="E19" s="14">
        <v>-368.7371842450375</v>
      </c>
    </row>
    <row r="20" spans="1:5" x14ac:dyDescent="0.25">
      <c r="A20" s="2" t="s">
        <v>6</v>
      </c>
      <c r="B20" s="3">
        <v>6089.0700130668674</v>
      </c>
      <c r="C20" s="3">
        <v>-108.74355177491729</v>
      </c>
      <c r="D20" s="3">
        <v>-63.590031111143617</v>
      </c>
      <c r="E20" s="4">
        <v>-91.474022758298815</v>
      </c>
    </row>
    <row r="21" spans="1:5" x14ac:dyDescent="0.25">
      <c r="A21" s="2" t="s">
        <v>7</v>
      </c>
      <c r="B21" s="3">
        <v>8874.5536817092743</v>
      </c>
      <c r="C21" s="3">
        <v>-1316.59722711072</v>
      </c>
      <c r="D21" s="3">
        <v>-606.32179281199387</v>
      </c>
      <c r="E21" s="4">
        <v>-314.06010854555461</v>
      </c>
    </row>
    <row r="22" spans="1:5" x14ac:dyDescent="0.25">
      <c r="A22" s="2" t="s">
        <v>8</v>
      </c>
      <c r="B22" s="3">
        <v>14602.465964852339</v>
      </c>
      <c r="C22" s="3">
        <v>-597.89137667429168</v>
      </c>
      <c r="D22" s="3">
        <v>-170.78520834203479</v>
      </c>
      <c r="E22" s="4">
        <v>-223.82965964976029</v>
      </c>
    </row>
    <row r="23" spans="1:5" x14ac:dyDescent="0.25">
      <c r="A23" s="2" t="s">
        <v>9</v>
      </c>
      <c r="B23" s="3">
        <v>5948.0511756816686</v>
      </c>
      <c r="C23" s="3">
        <v>-93.132665777348848</v>
      </c>
      <c r="D23" s="3">
        <v>236.79635328964099</v>
      </c>
      <c r="E23" s="4">
        <v>71.963542227959806</v>
      </c>
    </row>
    <row r="24" spans="1:5" x14ac:dyDescent="0.25">
      <c r="A24" s="2" t="s">
        <v>10</v>
      </c>
      <c r="B24" s="3">
        <v>1012.884668579939</v>
      </c>
      <c r="C24" s="3">
        <v>12.49068975850969</v>
      </c>
      <c r="D24" s="3">
        <v>20.792590588044732</v>
      </c>
      <c r="E24" s="4">
        <v>42.731121653767332</v>
      </c>
    </row>
    <row r="25" spans="1:5" x14ac:dyDescent="0.25">
      <c r="A25" s="2" t="s">
        <v>11</v>
      </c>
      <c r="B25" s="3">
        <v>166447</v>
      </c>
      <c r="C25" s="3">
        <v>1171.6661827799689</v>
      </c>
      <c r="D25" s="3">
        <v>-12052.711266482251</v>
      </c>
      <c r="E25" s="4">
        <v>-4311.1250659881043</v>
      </c>
    </row>
    <row r="26" spans="1:5" x14ac:dyDescent="0.25">
      <c r="A26" s="2" t="s">
        <v>12</v>
      </c>
      <c r="B26" s="3">
        <v>116571</v>
      </c>
      <c r="C26" s="3">
        <v>1378.862947420042</v>
      </c>
      <c r="D26" s="3">
        <v>-458.3459288787999</v>
      </c>
      <c r="E26" s="4">
        <v>-1516.5066908724839</v>
      </c>
    </row>
    <row r="27" spans="1:5" x14ac:dyDescent="0.25">
      <c r="A27" s="2" t="s">
        <v>13</v>
      </c>
      <c r="B27" s="3">
        <v>72444</v>
      </c>
      <c r="C27" s="3">
        <v>1782.835600903825</v>
      </c>
      <c r="D27" s="3">
        <v>777.98682993560215</v>
      </c>
      <c r="E27" s="4">
        <v>-281.21417735193972</v>
      </c>
    </row>
    <row r="28" spans="1:5" x14ac:dyDescent="0.25">
      <c r="A28" s="2" t="s">
        <v>5</v>
      </c>
      <c r="B28" s="3">
        <v>45205</v>
      </c>
      <c r="C28" s="3">
        <v>-4163.5001320415467</v>
      </c>
      <c r="D28" s="3">
        <v>301.16637791742693</v>
      </c>
      <c r="E28" s="4">
        <v>489.19296582644171</v>
      </c>
    </row>
    <row r="29" spans="1:5" x14ac:dyDescent="0.25">
      <c r="A29" s="2"/>
      <c r="B29" s="8"/>
      <c r="C29" s="8"/>
      <c r="D29" s="8"/>
      <c r="E29" s="15"/>
    </row>
    <row r="30" spans="1:5" x14ac:dyDescent="0.25">
      <c r="A30" s="30" t="s">
        <v>14</v>
      </c>
      <c r="B30" s="31">
        <v>223902.05726159739</v>
      </c>
      <c r="C30" s="31">
        <v>-2250.4445608045212</v>
      </c>
      <c r="D30" s="31">
        <v>-12525.17176534375</v>
      </c>
      <c r="E30" s="32">
        <v>-5194.5313773050439</v>
      </c>
    </row>
    <row r="31" spans="1:5" ht="15.75" thickBot="1" x14ac:dyDescent="0.3">
      <c r="A31" s="33" t="s">
        <v>18</v>
      </c>
      <c r="B31" s="34">
        <f>SUM(B19:B28)</f>
        <v>458122.05726159737</v>
      </c>
      <c r="C31" s="34">
        <f>SUM(C19:C28)</f>
        <v>-3252.2461445221661</v>
      </c>
      <c r="D31" s="34">
        <f>SUM(D19:D28)</f>
        <v>-11904.36448636953</v>
      </c>
      <c r="E31" s="35">
        <f>SUM(E19:E28)</f>
        <v>-6503.0592797030104</v>
      </c>
    </row>
  </sheetData>
  <mergeCells count="3">
    <mergeCell ref="A17:A18"/>
    <mergeCell ref="B17:B18"/>
    <mergeCell ref="C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sqref="A1:E8"/>
    </sheetView>
  </sheetViews>
  <sheetFormatPr defaultRowHeight="15" x14ac:dyDescent="0.25"/>
  <cols>
    <col min="1" max="1" width="28.7109375" customWidth="1"/>
    <col min="2" max="2" width="24.7109375" customWidth="1"/>
    <col min="3" max="5" width="18.7109375" customWidth="1"/>
  </cols>
  <sheetData>
    <row r="1" spans="1:5" ht="15.75" thickBot="1" x14ac:dyDescent="0.3">
      <c r="A1" s="20" t="s">
        <v>20</v>
      </c>
      <c r="B1" s="20" t="s">
        <v>19</v>
      </c>
      <c r="C1" s="21" t="s">
        <v>22</v>
      </c>
      <c r="D1" s="21"/>
      <c r="E1" s="22"/>
    </row>
    <row r="2" spans="1:5" ht="15.75" thickBot="1" x14ac:dyDescent="0.3">
      <c r="A2" s="23"/>
      <c r="B2" s="23"/>
      <c r="C2" s="24" t="s">
        <v>23</v>
      </c>
      <c r="D2" s="25" t="s">
        <v>24</v>
      </c>
      <c r="E2" s="26" t="s">
        <v>25</v>
      </c>
    </row>
    <row r="3" spans="1:5" x14ac:dyDescent="0.25">
      <c r="A3" s="12" t="s">
        <v>17</v>
      </c>
      <c r="B3" s="13">
        <v>56442.172593017407</v>
      </c>
      <c r="C3" s="13">
        <v>-3434.6014333429562</v>
      </c>
      <c r="D3" s="13">
        <v>-493.25308944955032</v>
      </c>
      <c r="E3" s="14">
        <v>-926.13743297068868</v>
      </c>
    </row>
    <row r="4" spans="1:5" x14ac:dyDescent="0.25">
      <c r="A4" s="2" t="s">
        <v>16</v>
      </c>
      <c r="B4" s="3">
        <v>167459.88466857991</v>
      </c>
      <c r="C4" s="3">
        <v>1184.1568725384709</v>
      </c>
      <c r="D4" s="3">
        <v>-12031.918675894211</v>
      </c>
      <c r="E4" s="4">
        <v>-4268.3939443343261</v>
      </c>
    </row>
    <row r="5" spans="1:5" ht="15.75" thickBot="1" x14ac:dyDescent="0.3">
      <c r="A5" s="5" t="s">
        <v>15</v>
      </c>
      <c r="B5" s="6">
        <v>234220</v>
      </c>
      <c r="C5" s="6">
        <v>-1001.801583717694</v>
      </c>
      <c r="D5" s="6">
        <v>620.80727897418546</v>
      </c>
      <c r="E5" s="7">
        <v>-1308.527902397967</v>
      </c>
    </row>
    <row r="6" spans="1:5" ht="15.75" thickBot="1" x14ac:dyDescent="0.3">
      <c r="A6" s="17"/>
      <c r="B6" s="18"/>
      <c r="C6" s="18"/>
      <c r="D6" s="18"/>
      <c r="E6" s="19"/>
    </row>
    <row r="7" spans="1:5" x14ac:dyDescent="0.25">
      <c r="A7" s="38" t="s">
        <v>14</v>
      </c>
      <c r="B7" s="36">
        <v>223902.05726159739</v>
      </c>
      <c r="C7" s="36">
        <v>-2250.4445608045212</v>
      </c>
      <c r="D7" s="36">
        <v>-12525.17176534375</v>
      </c>
      <c r="E7" s="37">
        <v>-5194.5313773050439</v>
      </c>
    </row>
    <row r="8" spans="1:5" ht="15.75" thickBot="1" x14ac:dyDescent="0.3">
      <c r="A8" s="33" t="s">
        <v>18</v>
      </c>
      <c r="B8" s="34">
        <f>SUM(B3:B5)</f>
        <v>458122.05726159731</v>
      </c>
      <c r="C8" s="34">
        <f>SUM(C3:C5)</f>
        <v>-3252.2461445221793</v>
      </c>
      <c r="D8" s="34">
        <f>SUM(D3:D5)</f>
        <v>-11904.364486369575</v>
      </c>
      <c r="E8" s="35">
        <f>SUM(E3:E5)</f>
        <v>-6503.0592797029822</v>
      </c>
    </row>
  </sheetData>
  <mergeCells count="3">
    <mergeCell ref="C1:E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Vasilauskas</cp:lastModifiedBy>
  <dcterms:created xsi:type="dcterms:W3CDTF">2025-12-01T20:58:13Z</dcterms:created>
  <dcterms:modified xsi:type="dcterms:W3CDTF">2025-12-02T16:38:53Z</dcterms:modified>
</cp:coreProperties>
</file>